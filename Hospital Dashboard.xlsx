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ASUS\Desktop\Hospital emergency project\"/>
    </mc:Choice>
  </mc:AlternateContent>
  <xr:revisionPtr revIDLastSave="0" documentId="13_ncr:1_{A9406697-4E38-43C7-8A0C-700A47CADBDF}" xr6:coauthVersionLast="47" xr6:coauthVersionMax="47" xr10:uidLastSave="{00000000-0000-0000-0000-000000000000}"/>
  <bookViews>
    <workbookView xWindow="-108" yWindow="-108" windowWidth="23256" windowHeight="12456" activeTab="2" xr2:uid="{FB80ABF3-2FBA-44FD-A633-E4C9606DC190}"/>
  </bookViews>
  <sheets>
    <sheet name="Sheet3" sheetId="3" r:id="rId1"/>
    <sheet name="Sheet1" sheetId="1" r:id="rId2"/>
    <sheet name="Dashboard" sheetId="2" r:id="rId3"/>
    <sheet name="Sheet7" sheetId="7" r:id="rId4"/>
    <sheet name="Sheet6" sheetId="6" r:id="rId5"/>
    <sheet name="Sheet5" sheetId="5" r:id="rId6"/>
  </sheets>
  <definedNames>
    <definedName name="Slicer_Column1__Month">#N/A</definedName>
    <definedName name="Slicer_Column1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s>
  <extLst>
    <ext xmlns:x14="http://schemas.microsoft.com/office/spreadsheetml/2009/9/main" uri="{876F7934-8845-4945-9796-88D515C7AA90}">
      <x14:pivotCaches>
        <pivotCache cacheId="15" r:id="rId22"/>
        <pivotCache cacheId="1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43c7e46-cf5b-4cb9-ae26-def6a4c3f1c2" name="Hospital Emergency Room Data" connection="Query - Hospital Emergency Room Data"/>
          <x15:modelTable id="Calender_Table_16fa55a3-77b4-4fee-a34f-08bfddface32" name="Calender_Table" connection="Query - Calender_Table"/>
        </x15:modelTables>
        <x15:modelRelationships>
          <x15:modelRelationship fromTable="Hospital Emergency Room Data" fromColumn="Patient Admission Date"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 l="1"/>
  <c r="C51" i="1"/>
  <c r="D51" i="1"/>
  <c r="C50" i="1"/>
  <c r="D50" i="1"/>
  <c r="B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266BB8-255E-4E3E-87B3-DEA16E617632}" name="Query - Calender_Table" description="Connection to the 'Calender_Table' query in the workbook." type="100" refreshedVersion="8" minRefreshableVersion="5">
    <extLst>
      <ext xmlns:x15="http://schemas.microsoft.com/office/spreadsheetml/2010/11/main" uri="{DE250136-89BD-433C-8126-D09CA5730AF9}">
        <x15:connection id="2bb682f3-e6be-40bf-904d-5cc2286100ea"/>
      </ext>
    </extLst>
  </connection>
  <connection id="2" xr16:uid="{29FA05CA-B794-4776-B423-D3816F39D76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5d19fb3-0293-4c60-9eae-0098089b9c44">
          <x15:oledbPr connection="Provider=Microsoft.Mashup.OleDb.1;Data Source=$Workbook$;Location=&quot;Hospital Emergency Room Data&quot;;Extended Properties=&quot;&quot;">
            <x15:dbTables>
              <x15:dbTable name="Hospital Emergency Room Data"/>
            </x15:dbTables>
          </x15:oledbPr>
        </x15:connection>
      </ext>
    </extLst>
  </connection>
  <connection id="3" xr16:uid="{D89F7C6B-73E1-485C-ADCC-A7BE9F7467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<sst xmlns="http://schemas.openxmlformats.org/spreadsheetml/2006/main" count="90" uniqueCount="48">
  <si>
    <t>Count of Patient Id</t>
  </si>
  <si>
    <t>dch</t>
  </si>
  <si>
    <t>Average of Patient Waittime</t>
  </si>
  <si>
    <t>Average of Patient Satisfaction Score</t>
  </si>
  <si>
    <t>Row Labels</t>
  </si>
  <si>
    <t>Grand Total</t>
  </si>
  <si>
    <t>Column Labels</t>
  </si>
  <si>
    <t>2023</t>
  </si>
  <si>
    <t>4-Jun</t>
  </si>
  <si>
    <t>5-Jun</t>
  </si>
  <si>
    <t>6-Jun</t>
  </si>
  <si>
    <t>7-Jun</t>
  </si>
  <si>
    <t>8-Jun</t>
  </si>
  <si>
    <t>9-Jun</t>
  </si>
  <si>
    <t>10-Jun</t>
  </si>
  <si>
    <t>11-Jun</t>
  </si>
  <si>
    <t>12-Jun</t>
  </si>
  <si>
    <t>Cardiology</t>
  </si>
  <si>
    <t>Gastroenterology</t>
  </si>
  <si>
    <t>General Practice</t>
  </si>
  <si>
    <t>Neurology</t>
  </si>
  <si>
    <t>None</t>
  </si>
  <si>
    <t>Orthopedics</t>
  </si>
  <si>
    <t>Physiotherapy</t>
  </si>
  <si>
    <t>Renal</t>
  </si>
  <si>
    <t>Female</t>
  </si>
  <si>
    <t>Male</t>
  </si>
  <si>
    <t>Count of Patient Gender</t>
  </si>
  <si>
    <t>Delay</t>
  </si>
  <si>
    <t>On-Time</t>
  </si>
  <si>
    <t>0-9</t>
  </si>
  <si>
    <t>20-29</t>
  </si>
  <si>
    <t>30-39</t>
  </si>
  <si>
    <t>40-49</t>
  </si>
  <si>
    <t>50-59</t>
  </si>
  <si>
    <t>60-69</t>
  </si>
  <si>
    <t>70-79</t>
  </si>
  <si>
    <t>Admitted</t>
  </si>
  <si>
    <t>Not Admitted</t>
  </si>
  <si>
    <t>Patients</t>
  </si>
  <si>
    <t>% in Total</t>
  </si>
  <si>
    <t>Count of Age Group</t>
  </si>
  <si>
    <t>Count of Department Referral</t>
  </si>
  <si>
    <t>Count of Patient Admission Flag</t>
  </si>
  <si>
    <t>Count of Patient Admission Flag2</t>
  </si>
  <si>
    <t>Admission Status</t>
  </si>
  <si>
    <t>Status in %</t>
  </si>
  <si>
    <t xml:space="preserve">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</si>
</sst>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theme="0"/>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3" borderId="0" xfId="0" applyFill="1"/>
    <xf numFmtId="2" fontId="0" fillId="0" borderId="0" xfId="0" applyNumberFormat="1"/>
    <xf numFmtId="0" fontId="0" fillId="0" borderId="0" xfId="0" applyAlignment="1">
      <alignment horizontal="left"/>
    </xf>
    <xf numFmtId="10" fontId="2" fillId="2" borderId="10" xfId="0" applyNumberFormat="1" applyFont="1" applyFill="1" applyBorder="1"/>
    <xf numFmtId="10" fontId="0" fillId="0" borderId="0" xfId="0" applyNumberFormat="1"/>
    <xf numFmtId="164" fontId="0" fillId="0" borderId="0" xfId="0" applyNumberFormat="1"/>
    <xf numFmtId="9" fontId="0" fillId="0" borderId="0" xfId="1" applyFont="1"/>
    <xf numFmtId="9" fontId="0" fillId="3" borderId="0" xfId="1" applyFont="1" applyFill="1"/>
    <xf numFmtId="0" fontId="0" fillId="4" borderId="0" xfId="0" applyFill="1"/>
  </cellXfs>
  <cellStyles count="2">
    <cellStyle name="Normal" xfId="0" builtinId="0"/>
    <cellStyle name="Percent" xfId="1" builtinId="5"/>
  </cellStyles>
  <dxfs count="7">
    <dxf>
      <numFmt numFmtId="2" formatCode="0.00"/>
    </dxf>
    <dxf>
      <numFmt numFmtId="2" formatCode="0.00"/>
    </dxf>
    <dxf>
      <numFmt numFmtId="2" formatCode="0.00"/>
    </dxf>
    <dxf>
      <numFmt numFmtId="2" formatCode="0.00"/>
    </dxf>
    <dxf>
      <fill>
        <patternFill>
          <bgColor theme="7" tint="-0.24994659260841701"/>
        </patternFill>
      </fill>
      <border diagonalUp="0" diagonalDown="0">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theme="7" tint="-0.24994659260841701"/>
        </patternFill>
      </fill>
      <border diagonalUp="0" diagonalDown="0">
        <left/>
        <right/>
        <top/>
        <bottom/>
        <vertical/>
        <horizontal/>
      </border>
    </dxf>
  </dxfs>
  <tableStyles count="2" defaultTableStyle="TableStyleMedium2" defaultPivotStyle="PivotStyleLight16">
    <tableStyle name="lawda" pivot="0" table="0" count="10" xr9:uid="{0B001BC4-3EA6-4958-B7FE-AE71D5408826}">
      <tableStyleElement type="wholeTable" dxfId="6"/>
      <tableStyleElement type="headerRow" dxfId="5"/>
    </tableStyle>
    <tableStyle name="My Style" pivot="0" table="0" count="1" xr9:uid="{1131E60C-F37A-4D05-B473-3DBA5E75BCD7}">
      <tableStyleElement type="wholeTable" dxfId="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lawd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Dashboard.xlsx]Sheet1!PivotTable16</c:name>
    <c:fmtId val="7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38095238095233E-2"/>
          <c:y val="0.19607843137254902"/>
          <c:w val="0.82539682539682535"/>
          <c:h val="0.64052287581699341"/>
        </c:manualLayout>
      </c:layout>
      <c:barChart>
        <c:barDir val="bar"/>
        <c:grouping val="clustered"/>
        <c:varyColors val="0"/>
        <c:ser>
          <c:idx val="0"/>
          <c:order val="0"/>
          <c:tx>
            <c:strRef>
              <c:f>Sheet1!$C$41</c:f>
              <c:strCache>
                <c:ptCount val="1"/>
                <c:pt idx="0">
                  <c:v>Count of Patient Admission Flag</c:v>
                </c:pt>
              </c:strCache>
            </c:strRef>
          </c:tx>
          <c:spPr>
            <a:solidFill>
              <a:schemeClr val="accent1"/>
            </a:solidFill>
            <a:ln>
              <a:noFill/>
            </a:ln>
            <a:effectLst/>
          </c:spPr>
          <c:invertIfNegative val="0"/>
          <c:cat>
            <c:strRef>
              <c:f>Sheet1!$B$42:$B$44</c:f>
              <c:strCache>
                <c:ptCount val="2"/>
                <c:pt idx="0">
                  <c:v>Admitted</c:v>
                </c:pt>
                <c:pt idx="1">
                  <c:v>Not Admitted</c:v>
                </c:pt>
              </c:strCache>
            </c:strRef>
          </c:cat>
          <c:val>
            <c:numRef>
              <c:f>Sheet1!$C$42:$C$44</c:f>
              <c:numCache>
                <c:formatCode>General</c:formatCode>
                <c:ptCount val="2"/>
                <c:pt idx="0">
                  <c:v>52</c:v>
                </c:pt>
                <c:pt idx="1">
                  <c:v>70</c:v>
                </c:pt>
              </c:numCache>
            </c:numRef>
          </c:val>
          <c:extLst>
            <c:ext xmlns:c16="http://schemas.microsoft.com/office/drawing/2014/chart" uri="{C3380CC4-5D6E-409C-BE32-E72D297353CC}">
              <c16:uniqueId val="{00000000-9BE5-4AD1-91C2-C8F6237C580F}"/>
            </c:ext>
          </c:extLst>
        </c:ser>
        <c:ser>
          <c:idx val="1"/>
          <c:order val="1"/>
          <c:tx>
            <c:strRef>
              <c:f>Sheet1!$D$41</c:f>
              <c:strCache>
                <c:ptCount val="1"/>
                <c:pt idx="0">
                  <c:v>Count of Patient Admission Flag2</c:v>
                </c:pt>
              </c:strCache>
            </c:strRef>
          </c:tx>
          <c:spPr>
            <a:solidFill>
              <a:schemeClr val="accent2"/>
            </a:solidFill>
            <a:ln>
              <a:noFill/>
            </a:ln>
            <a:effectLst/>
          </c:spPr>
          <c:invertIfNegative val="0"/>
          <c:cat>
            <c:strRef>
              <c:f>Sheet1!$B$42:$B$44</c:f>
              <c:strCache>
                <c:ptCount val="2"/>
                <c:pt idx="0">
                  <c:v>Admitted</c:v>
                </c:pt>
                <c:pt idx="1">
                  <c:v>Not Admitted</c:v>
                </c:pt>
              </c:strCache>
            </c:strRef>
          </c:cat>
          <c:val>
            <c:numRef>
              <c:f>Sheet1!$D$42:$D$44</c:f>
              <c:numCache>
                <c:formatCode>0.00%</c:formatCode>
                <c:ptCount val="2"/>
                <c:pt idx="0">
                  <c:v>0.42622950819672129</c:v>
                </c:pt>
                <c:pt idx="1">
                  <c:v>0.57377049180327866</c:v>
                </c:pt>
              </c:numCache>
            </c:numRef>
          </c:val>
          <c:extLst>
            <c:ext xmlns:c16="http://schemas.microsoft.com/office/drawing/2014/chart" uri="{C3380CC4-5D6E-409C-BE32-E72D297353CC}">
              <c16:uniqueId val="{00000001-9BE5-4AD1-91C2-C8F6237C580F}"/>
            </c:ext>
          </c:extLst>
        </c:ser>
        <c:dLbls>
          <c:showLegendKey val="0"/>
          <c:showVal val="0"/>
          <c:showCatName val="0"/>
          <c:showSerName val="0"/>
          <c:showPercent val="0"/>
          <c:showBubbleSize val="0"/>
        </c:dLbls>
        <c:gapWidth val="188"/>
        <c:overlap val="12"/>
        <c:axId val="229783295"/>
        <c:axId val="229784255"/>
      </c:barChart>
      <c:catAx>
        <c:axId val="229783295"/>
        <c:scaling>
          <c:orientation val="minMax"/>
        </c:scaling>
        <c:delete val="1"/>
        <c:axPos val="l"/>
        <c:numFmt formatCode="General" sourceLinked="1"/>
        <c:majorTickMark val="none"/>
        <c:minorTickMark val="none"/>
        <c:tickLblPos val="nextTo"/>
        <c:crossAx val="229784255"/>
        <c:crosses val="autoZero"/>
        <c:auto val="1"/>
        <c:lblAlgn val="ctr"/>
        <c:lblOffset val="100"/>
        <c:noMultiLvlLbl val="0"/>
      </c:catAx>
      <c:valAx>
        <c:axId val="229784255"/>
        <c:scaling>
          <c:orientation val="minMax"/>
        </c:scaling>
        <c:delete val="1"/>
        <c:axPos val="b"/>
        <c:numFmt formatCode="General" sourceLinked="1"/>
        <c:majorTickMark val="none"/>
        <c:minorTickMark val="none"/>
        <c:tickLblPos val="nextTo"/>
        <c:crossAx val="22978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Dashboard.xlsx]Sheet1!PivotTable8</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45484592203789E-3"/>
          <c:y val="3.2936779641675206E-3"/>
          <c:w val="0.91628614916286144"/>
          <c:h val="0.72222222222222221"/>
        </c:manualLayout>
      </c:layout>
      <c:areaChart>
        <c:grouping val="standard"/>
        <c:varyColors val="0"/>
        <c:ser>
          <c:idx val="0"/>
          <c:order val="0"/>
          <c:tx>
            <c:strRef>
              <c:f>Sheet1!$K$5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Sheet1!$J$6:$J$15</c:f>
              <c:strCache>
                <c:ptCount val="9"/>
                <c:pt idx="0">
                  <c:v>4-Jun</c:v>
                </c:pt>
                <c:pt idx="1">
                  <c:v>5-Jun</c:v>
                </c:pt>
                <c:pt idx="2">
                  <c:v>6-Jun</c:v>
                </c:pt>
                <c:pt idx="3">
                  <c:v>7-Jun</c:v>
                </c:pt>
                <c:pt idx="4">
                  <c:v>8-Jun</c:v>
                </c:pt>
                <c:pt idx="5">
                  <c:v>9-Jun</c:v>
                </c:pt>
                <c:pt idx="6">
                  <c:v>10-Jun</c:v>
                </c:pt>
                <c:pt idx="7">
                  <c:v>11-Jun</c:v>
                </c:pt>
                <c:pt idx="8">
                  <c:v>12-Jun</c:v>
                </c:pt>
              </c:strCache>
            </c:strRef>
          </c:cat>
          <c:val>
            <c:numRef>
              <c:f>Sheet1!$K$6:$K$15</c:f>
              <c:numCache>
                <c:formatCode>General</c:formatCode>
                <c:ptCount val="9"/>
                <c:pt idx="0">
                  <c:v>14</c:v>
                </c:pt>
                <c:pt idx="1">
                  <c:v>16</c:v>
                </c:pt>
                <c:pt idx="2">
                  <c:v>17</c:v>
                </c:pt>
                <c:pt idx="3">
                  <c:v>12</c:v>
                </c:pt>
                <c:pt idx="4">
                  <c:v>10</c:v>
                </c:pt>
                <c:pt idx="5">
                  <c:v>11</c:v>
                </c:pt>
                <c:pt idx="6">
                  <c:v>15</c:v>
                </c:pt>
                <c:pt idx="7">
                  <c:v>16</c:v>
                </c:pt>
                <c:pt idx="8">
                  <c:v>11</c:v>
                </c:pt>
              </c:numCache>
            </c:numRef>
          </c:val>
          <c:extLst>
            <c:ext xmlns:c16="http://schemas.microsoft.com/office/drawing/2014/chart" uri="{C3380CC4-5D6E-409C-BE32-E72D297353CC}">
              <c16:uniqueId val="{00000001-61BF-4327-A65E-0FA65786EBA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23836863"/>
        <c:axId val="223836383"/>
      </c:areaChart>
      <c:catAx>
        <c:axId val="223836863"/>
        <c:scaling>
          <c:orientation val="minMax"/>
        </c:scaling>
        <c:delete val="1"/>
        <c:axPos val="b"/>
        <c:numFmt formatCode="General" sourceLinked="1"/>
        <c:majorTickMark val="none"/>
        <c:minorTickMark val="none"/>
        <c:tickLblPos val="nextTo"/>
        <c:crossAx val="223836383"/>
        <c:crosses val="autoZero"/>
        <c:auto val="1"/>
        <c:lblAlgn val="ctr"/>
        <c:lblOffset val="100"/>
        <c:noMultiLvlLbl val="0"/>
      </c:catAx>
      <c:valAx>
        <c:axId val="223836383"/>
        <c:scaling>
          <c:orientation val="minMax"/>
        </c:scaling>
        <c:delete val="1"/>
        <c:axPos val="l"/>
        <c:numFmt formatCode="General" sourceLinked="1"/>
        <c:majorTickMark val="out"/>
        <c:minorTickMark val="none"/>
        <c:tickLblPos val="nextTo"/>
        <c:crossAx val="2238368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Dashboard.xlsx]Sheet1!PivotTable9</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Sheet1!$Q$5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Sheet1!$P$6:$P$15</c:f>
              <c:strCache>
                <c:ptCount val="9"/>
                <c:pt idx="0">
                  <c:v>4-Jun</c:v>
                </c:pt>
                <c:pt idx="1">
                  <c:v>5-Jun</c:v>
                </c:pt>
                <c:pt idx="2">
                  <c:v>6-Jun</c:v>
                </c:pt>
                <c:pt idx="3">
                  <c:v>7-Jun</c:v>
                </c:pt>
                <c:pt idx="4">
                  <c:v>8-Jun</c:v>
                </c:pt>
                <c:pt idx="5">
                  <c:v>9-Jun</c:v>
                </c:pt>
                <c:pt idx="6">
                  <c:v>10-Jun</c:v>
                </c:pt>
                <c:pt idx="7">
                  <c:v>11-Jun</c:v>
                </c:pt>
                <c:pt idx="8">
                  <c:v>12-Jun</c:v>
                </c:pt>
              </c:strCache>
            </c:strRef>
          </c:cat>
          <c:val>
            <c:numRef>
              <c:f>Sheet1!$Q$6:$Q$15</c:f>
              <c:numCache>
                <c:formatCode>General</c:formatCode>
                <c:ptCount val="9"/>
                <c:pt idx="0">
                  <c:v>30.142857142857142</c:v>
                </c:pt>
                <c:pt idx="1">
                  <c:v>34.5625</c:v>
                </c:pt>
                <c:pt idx="2">
                  <c:v>33.294117647058826</c:v>
                </c:pt>
                <c:pt idx="3">
                  <c:v>34.666666666666664</c:v>
                </c:pt>
                <c:pt idx="4">
                  <c:v>25.1</c:v>
                </c:pt>
                <c:pt idx="5">
                  <c:v>36.81818181818182</c:v>
                </c:pt>
                <c:pt idx="6">
                  <c:v>37.266666666666666</c:v>
                </c:pt>
                <c:pt idx="7">
                  <c:v>39.8125</c:v>
                </c:pt>
                <c:pt idx="8">
                  <c:v>35</c:v>
                </c:pt>
              </c:numCache>
            </c:numRef>
          </c:val>
          <c:extLst>
            <c:ext xmlns:c16="http://schemas.microsoft.com/office/drawing/2014/chart" uri="{C3380CC4-5D6E-409C-BE32-E72D297353CC}">
              <c16:uniqueId val="{00000001-1544-405D-A72D-85EF6D0C86A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49211968"/>
        <c:axId val="2049205184"/>
      </c:areaChart>
      <c:catAx>
        <c:axId val="2049211968"/>
        <c:scaling>
          <c:orientation val="minMax"/>
        </c:scaling>
        <c:delete val="1"/>
        <c:axPos val="b"/>
        <c:numFmt formatCode="General" sourceLinked="1"/>
        <c:majorTickMark val="none"/>
        <c:minorTickMark val="none"/>
        <c:tickLblPos val="nextTo"/>
        <c:crossAx val="2049205184"/>
        <c:crosses val="autoZero"/>
        <c:auto val="1"/>
        <c:lblAlgn val="ctr"/>
        <c:lblOffset val="100"/>
        <c:noMultiLvlLbl val="0"/>
      </c:catAx>
      <c:valAx>
        <c:axId val="2049205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crossAx val="20492119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Dashboard.xlsx]Sheet1!PivotTable10</c:name>
    <c:fmtId val="5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Sheet1!$F$11</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Sheet1!$E$12:$E$21</c:f>
              <c:strCache>
                <c:ptCount val="9"/>
                <c:pt idx="0">
                  <c:v>4-Jun</c:v>
                </c:pt>
                <c:pt idx="1">
                  <c:v>5-Jun</c:v>
                </c:pt>
                <c:pt idx="2">
                  <c:v>6-Jun</c:v>
                </c:pt>
                <c:pt idx="3">
                  <c:v>7-Jun</c:v>
                </c:pt>
                <c:pt idx="4">
                  <c:v>8-Jun</c:v>
                </c:pt>
                <c:pt idx="5">
                  <c:v>9-Jun</c:v>
                </c:pt>
                <c:pt idx="6">
                  <c:v>10-Jun</c:v>
                </c:pt>
                <c:pt idx="7">
                  <c:v>11-Jun</c:v>
                </c:pt>
                <c:pt idx="8">
                  <c:v>12-Jun</c:v>
                </c:pt>
              </c:strCache>
            </c:strRef>
          </c:cat>
          <c:val>
            <c:numRef>
              <c:f>Sheet1!$F$12:$F$21</c:f>
              <c:numCache>
                <c:formatCode>General</c:formatCode>
                <c:ptCount val="9"/>
                <c:pt idx="0">
                  <c:v>2</c:v>
                </c:pt>
                <c:pt idx="1">
                  <c:v>5.25</c:v>
                </c:pt>
                <c:pt idx="2">
                  <c:v>7.333333333333333</c:v>
                </c:pt>
                <c:pt idx="3">
                  <c:v>6</c:v>
                </c:pt>
                <c:pt idx="4">
                  <c:v>6.333333333333333</c:v>
                </c:pt>
                <c:pt idx="5">
                  <c:v>6.2</c:v>
                </c:pt>
                <c:pt idx="6">
                  <c:v>5.6</c:v>
                </c:pt>
                <c:pt idx="7">
                  <c:v>4.8</c:v>
                </c:pt>
                <c:pt idx="8">
                  <c:v>5.25</c:v>
                </c:pt>
              </c:numCache>
            </c:numRef>
          </c:val>
          <c:extLst>
            <c:ext xmlns:c16="http://schemas.microsoft.com/office/drawing/2014/chart" uri="{C3380CC4-5D6E-409C-BE32-E72D297353CC}">
              <c16:uniqueId val="{00000001-CD8C-428D-A738-91D17FC79FF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2967007"/>
        <c:axId val="102962687"/>
      </c:areaChart>
      <c:catAx>
        <c:axId val="102967007"/>
        <c:scaling>
          <c:orientation val="minMax"/>
        </c:scaling>
        <c:delete val="1"/>
        <c:axPos val="b"/>
        <c:numFmt formatCode="General" sourceLinked="1"/>
        <c:majorTickMark val="none"/>
        <c:minorTickMark val="none"/>
        <c:tickLblPos val="nextTo"/>
        <c:crossAx val="102962687"/>
        <c:crosses val="autoZero"/>
        <c:auto val="1"/>
        <c:lblAlgn val="ctr"/>
        <c:lblOffset val="100"/>
        <c:noMultiLvlLbl val="0"/>
      </c:catAx>
      <c:valAx>
        <c:axId val="1029626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crossAx val="1029670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Dashboard.xlsx]Sheet1!Department refer</c:name>
    <c:fmtId val="68"/>
  </c:pivotSource>
  <c:chart>
    <c:title>
      <c:layout>
        <c:manualLayout>
          <c:xMode val="edge"/>
          <c:yMode val="edge"/>
          <c:x val="0.45391380886747901"/>
          <c:y val="4.232804232804232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Sheet1!$E$31:$E$39</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Sheet1!$F$31:$F$39</c:f>
              <c:numCache>
                <c:formatCode>General</c:formatCode>
                <c:ptCount val="8"/>
                <c:pt idx="0">
                  <c:v>1</c:v>
                </c:pt>
                <c:pt idx="1">
                  <c:v>4</c:v>
                </c:pt>
                <c:pt idx="2">
                  <c:v>16</c:v>
                </c:pt>
                <c:pt idx="3">
                  <c:v>65</c:v>
                </c:pt>
                <c:pt idx="4">
                  <c:v>3</c:v>
                </c:pt>
                <c:pt idx="5">
                  <c:v>19</c:v>
                </c:pt>
                <c:pt idx="6">
                  <c:v>7</c:v>
                </c:pt>
                <c:pt idx="7">
                  <c:v>7</c:v>
                </c:pt>
              </c:numCache>
            </c:numRef>
          </c:val>
          <c:extLst>
            <c:ext xmlns:c16="http://schemas.microsoft.com/office/drawing/2014/chart" uri="{C3380CC4-5D6E-409C-BE32-E72D297353CC}">
              <c16:uniqueId val="{00000001-348C-4ABA-B57C-3BA29B1309E3}"/>
            </c:ext>
          </c:extLst>
        </c:ser>
        <c:dLbls>
          <c:showLegendKey val="0"/>
          <c:showVal val="0"/>
          <c:showCatName val="0"/>
          <c:showSerName val="0"/>
          <c:showPercent val="0"/>
          <c:showBubbleSize val="0"/>
        </c:dLbls>
        <c:gapWidth val="182"/>
        <c:overlap val="-50"/>
        <c:axId val="367546863"/>
        <c:axId val="367547823"/>
      </c:barChart>
      <c:catAx>
        <c:axId val="367546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7547823"/>
        <c:crosses val="autoZero"/>
        <c:auto val="1"/>
        <c:lblAlgn val="ctr"/>
        <c:lblOffset val="100"/>
        <c:noMultiLvlLbl val="0"/>
      </c:catAx>
      <c:valAx>
        <c:axId val="3675478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754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Dashboard.xlsx]Sheet1!Gender</c:name>
    <c:fmtId val="7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Sheet1!$K$21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FB-4809-A0F6-881364506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FB-4809-A0F6-881364506C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Sheet1!$J$22:$J$24</c:f>
              <c:strCache>
                <c:ptCount val="2"/>
                <c:pt idx="0">
                  <c:v>Female</c:v>
                </c:pt>
                <c:pt idx="1">
                  <c:v>Male</c:v>
                </c:pt>
              </c:strCache>
            </c:strRef>
          </c:cat>
          <c:val>
            <c:numRef>
              <c:f>Sheet1!$K$22:$K$24</c:f>
              <c:numCache>
                <c:formatCode>General</c:formatCode>
                <c:ptCount val="2"/>
                <c:pt idx="0">
                  <c:v>61</c:v>
                </c:pt>
                <c:pt idx="1">
                  <c:v>61</c:v>
                </c:pt>
              </c:numCache>
            </c:numRef>
          </c:val>
          <c:extLst>
            <c:ext xmlns:c16="http://schemas.microsoft.com/office/drawing/2014/chart" uri="{C3380CC4-5D6E-409C-BE32-E72D297353CC}">
              <c16:uniqueId val="{00000005-E0D7-4FE7-87FE-460EDA0A4A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Dashboard.xlsx]Sheet1!PivotTable13</c:name>
    <c:fmtId val="7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26-4352-AB41-3CFE929BAB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26-4352-AB41-3CFE929BAB96}"/>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Sheet1!$J$28:$J$30</c:f>
              <c:strCache>
                <c:ptCount val="2"/>
                <c:pt idx="0">
                  <c:v>Delay</c:v>
                </c:pt>
                <c:pt idx="1">
                  <c:v>On-Time</c:v>
                </c:pt>
              </c:strCache>
            </c:strRef>
          </c:cat>
          <c:val>
            <c:numRef>
              <c:f>Sheet1!$K$28:$K$30</c:f>
              <c:numCache>
                <c:formatCode>General</c:formatCode>
                <c:ptCount val="2"/>
                <c:pt idx="0">
                  <c:v>67</c:v>
                </c:pt>
                <c:pt idx="1">
                  <c:v>55</c:v>
                </c:pt>
              </c:numCache>
            </c:numRef>
          </c:val>
          <c:extLst>
            <c:ext xmlns:c16="http://schemas.microsoft.com/office/drawing/2014/chart" uri="{C3380CC4-5D6E-409C-BE32-E72D297353CC}">
              <c16:uniqueId val="{00000004-7126-4352-AB41-3CFE929BAB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Dashboard.xlsx]Sheet1!Age group</c:name>
    <c:fmtId val="7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Sheet1!$P$24:$P$31</c:f>
              <c:strCache>
                <c:ptCount val="7"/>
                <c:pt idx="0">
                  <c:v>0-9</c:v>
                </c:pt>
                <c:pt idx="1">
                  <c:v>20-29</c:v>
                </c:pt>
                <c:pt idx="2">
                  <c:v>30-39</c:v>
                </c:pt>
                <c:pt idx="3">
                  <c:v>40-49</c:v>
                </c:pt>
                <c:pt idx="4">
                  <c:v>50-59</c:v>
                </c:pt>
                <c:pt idx="5">
                  <c:v>60-69</c:v>
                </c:pt>
                <c:pt idx="6">
                  <c:v>70-79</c:v>
                </c:pt>
              </c:strCache>
            </c:strRef>
          </c:cat>
          <c:val>
            <c:numRef>
              <c:f>Sheet1!$Q$24:$Q$31</c:f>
              <c:numCache>
                <c:formatCode>General</c:formatCode>
                <c:ptCount val="7"/>
                <c:pt idx="0">
                  <c:v>32</c:v>
                </c:pt>
                <c:pt idx="1">
                  <c:v>13</c:v>
                </c:pt>
                <c:pt idx="2">
                  <c:v>16</c:v>
                </c:pt>
                <c:pt idx="3">
                  <c:v>13</c:v>
                </c:pt>
                <c:pt idx="4">
                  <c:v>14</c:v>
                </c:pt>
                <c:pt idx="5">
                  <c:v>17</c:v>
                </c:pt>
                <c:pt idx="6">
                  <c:v>17</c:v>
                </c:pt>
              </c:numCache>
            </c:numRef>
          </c:val>
          <c:extLst>
            <c:ext xmlns:c16="http://schemas.microsoft.com/office/drawing/2014/chart" uri="{C3380CC4-5D6E-409C-BE32-E72D297353CC}">
              <c16:uniqueId val="{00000001-BA59-4534-B095-FF0D07F55945}"/>
            </c:ext>
          </c:extLst>
        </c:ser>
        <c:dLbls>
          <c:showLegendKey val="0"/>
          <c:showVal val="0"/>
          <c:showCatName val="0"/>
          <c:showSerName val="0"/>
          <c:showPercent val="0"/>
          <c:showBubbleSize val="0"/>
        </c:dLbls>
        <c:gapWidth val="100"/>
        <c:axId val="572496431"/>
        <c:axId val="572494031"/>
      </c:barChart>
      <c:catAx>
        <c:axId val="572496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494031"/>
        <c:crosses val="autoZero"/>
        <c:auto val="1"/>
        <c:lblAlgn val="ctr"/>
        <c:lblOffset val="100"/>
        <c:noMultiLvlLbl val="0"/>
      </c:catAx>
      <c:valAx>
        <c:axId val="572494031"/>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49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Dashboard.xlsx]Sheet1!PivotTable10</c:name>
    <c:fmtId val="6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Sheet1!$F$11</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Sheet1!$E$12:$E$21</c:f>
              <c:strCache>
                <c:ptCount val="9"/>
                <c:pt idx="0">
                  <c:v>4-Jun</c:v>
                </c:pt>
                <c:pt idx="1">
                  <c:v>5-Jun</c:v>
                </c:pt>
                <c:pt idx="2">
                  <c:v>6-Jun</c:v>
                </c:pt>
                <c:pt idx="3">
                  <c:v>7-Jun</c:v>
                </c:pt>
                <c:pt idx="4">
                  <c:v>8-Jun</c:v>
                </c:pt>
                <c:pt idx="5">
                  <c:v>9-Jun</c:v>
                </c:pt>
                <c:pt idx="6">
                  <c:v>10-Jun</c:v>
                </c:pt>
                <c:pt idx="7">
                  <c:v>11-Jun</c:v>
                </c:pt>
                <c:pt idx="8">
                  <c:v>12-Jun</c:v>
                </c:pt>
              </c:strCache>
            </c:strRef>
          </c:cat>
          <c:val>
            <c:numRef>
              <c:f>Sheet1!$F$12:$F$21</c:f>
              <c:numCache>
                <c:formatCode>General</c:formatCode>
                <c:ptCount val="9"/>
                <c:pt idx="0">
                  <c:v>2</c:v>
                </c:pt>
                <c:pt idx="1">
                  <c:v>5.25</c:v>
                </c:pt>
                <c:pt idx="2">
                  <c:v>7.333333333333333</c:v>
                </c:pt>
                <c:pt idx="3">
                  <c:v>6</c:v>
                </c:pt>
                <c:pt idx="4">
                  <c:v>6.333333333333333</c:v>
                </c:pt>
                <c:pt idx="5">
                  <c:v>6.2</c:v>
                </c:pt>
                <c:pt idx="6">
                  <c:v>5.6</c:v>
                </c:pt>
                <c:pt idx="7">
                  <c:v>4.8</c:v>
                </c:pt>
                <c:pt idx="8">
                  <c:v>5.25</c:v>
                </c:pt>
              </c:numCache>
            </c:numRef>
          </c:val>
          <c:extLst>
            <c:ext xmlns:c16="http://schemas.microsoft.com/office/drawing/2014/chart" uri="{C3380CC4-5D6E-409C-BE32-E72D297353CC}">
              <c16:uniqueId val="{00000001-0C9C-4651-A220-1C7B5D65864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2967007"/>
        <c:axId val="102962687"/>
      </c:areaChart>
      <c:catAx>
        <c:axId val="1029670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2962687"/>
        <c:crosses val="autoZero"/>
        <c:auto val="1"/>
        <c:lblAlgn val="ctr"/>
        <c:lblOffset val="100"/>
        <c:noMultiLvlLbl val="0"/>
      </c:catAx>
      <c:valAx>
        <c:axId val="1029626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9670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Dashboard.xlsx]Sheet1!PivotTable9</c:name>
    <c:fmtId val="5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Sheet1!$Q$5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Sheet1!$P$6:$P$15</c:f>
              <c:strCache>
                <c:ptCount val="9"/>
                <c:pt idx="0">
                  <c:v>4-Jun</c:v>
                </c:pt>
                <c:pt idx="1">
                  <c:v>5-Jun</c:v>
                </c:pt>
                <c:pt idx="2">
                  <c:v>6-Jun</c:v>
                </c:pt>
                <c:pt idx="3">
                  <c:v>7-Jun</c:v>
                </c:pt>
                <c:pt idx="4">
                  <c:v>8-Jun</c:v>
                </c:pt>
                <c:pt idx="5">
                  <c:v>9-Jun</c:v>
                </c:pt>
                <c:pt idx="6">
                  <c:v>10-Jun</c:v>
                </c:pt>
                <c:pt idx="7">
                  <c:v>11-Jun</c:v>
                </c:pt>
                <c:pt idx="8">
                  <c:v>12-Jun</c:v>
                </c:pt>
              </c:strCache>
            </c:strRef>
          </c:cat>
          <c:val>
            <c:numRef>
              <c:f>Sheet1!$Q$6:$Q$15</c:f>
              <c:numCache>
                <c:formatCode>General</c:formatCode>
                <c:ptCount val="9"/>
                <c:pt idx="0">
                  <c:v>30.142857142857142</c:v>
                </c:pt>
                <c:pt idx="1">
                  <c:v>34.5625</c:v>
                </c:pt>
                <c:pt idx="2">
                  <c:v>33.294117647058826</c:v>
                </c:pt>
                <c:pt idx="3">
                  <c:v>34.666666666666664</c:v>
                </c:pt>
                <c:pt idx="4">
                  <c:v>25.1</c:v>
                </c:pt>
                <c:pt idx="5">
                  <c:v>36.81818181818182</c:v>
                </c:pt>
                <c:pt idx="6">
                  <c:v>37.266666666666666</c:v>
                </c:pt>
                <c:pt idx="7">
                  <c:v>39.8125</c:v>
                </c:pt>
                <c:pt idx="8">
                  <c:v>35</c:v>
                </c:pt>
              </c:numCache>
            </c:numRef>
          </c:val>
          <c:extLst>
            <c:ext xmlns:c16="http://schemas.microsoft.com/office/drawing/2014/chart" uri="{C3380CC4-5D6E-409C-BE32-E72D297353CC}">
              <c16:uniqueId val="{00000001-551A-4A07-A3B3-A6FD07685B3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49211968"/>
        <c:axId val="2049205184"/>
      </c:areaChart>
      <c:catAx>
        <c:axId val="20492119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49205184"/>
        <c:crosses val="autoZero"/>
        <c:auto val="1"/>
        <c:lblAlgn val="ctr"/>
        <c:lblOffset val="100"/>
        <c:noMultiLvlLbl val="0"/>
      </c:catAx>
      <c:valAx>
        <c:axId val="20492051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9211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Dashboard.xlsx]Sheet1!PivotTable8</c:name>
    <c:fmtId val="4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Sheet1!$K$5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Sheet1!$J$6:$J$15</c:f>
              <c:strCache>
                <c:ptCount val="9"/>
                <c:pt idx="0">
                  <c:v>4-Jun</c:v>
                </c:pt>
                <c:pt idx="1">
                  <c:v>5-Jun</c:v>
                </c:pt>
                <c:pt idx="2">
                  <c:v>6-Jun</c:v>
                </c:pt>
                <c:pt idx="3">
                  <c:v>7-Jun</c:v>
                </c:pt>
                <c:pt idx="4">
                  <c:v>8-Jun</c:v>
                </c:pt>
                <c:pt idx="5">
                  <c:v>9-Jun</c:v>
                </c:pt>
                <c:pt idx="6">
                  <c:v>10-Jun</c:v>
                </c:pt>
                <c:pt idx="7">
                  <c:v>11-Jun</c:v>
                </c:pt>
                <c:pt idx="8">
                  <c:v>12-Jun</c:v>
                </c:pt>
              </c:strCache>
            </c:strRef>
          </c:cat>
          <c:val>
            <c:numRef>
              <c:f>Sheet1!$K$6:$K$15</c:f>
              <c:numCache>
                <c:formatCode>General</c:formatCode>
                <c:ptCount val="9"/>
                <c:pt idx="0">
                  <c:v>14</c:v>
                </c:pt>
                <c:pt idx="1">
                  <c:v>16</c:v>
                </c:pt>
                <c:pt idx="2">
                  <c:v>17</c:v>
                </c:pt>
                <c:pt idx="3">
                  <c:v>12</c:v>
                </c:pt>
                <c:pt idx="4">
                  <c:v>10</c:v>
                </c:pt>
                <c:pt idx="5">
                  <c:v>11</c:v>
                </c:pt>
                <c:pt idx="6">
                  <c:v>15</c:v>
                </c:pt>
                <c:pt idx="7">
                  <c:v>16</c:v>
                </c:pt>
                <c:pt idx="8">
                  <c:v>11</c:v>
                </c:pt>
              </c:numCache>
            </c:numRef>
          </c:val>
          <c:extLst>
            <c:ext xmlns:c16="http://schemas.microsoft.com/office/drawing/2014/chart" uri="{C3380CC4-5D6E-409C-BE32-E72D297353CC}">
              <c16:uniqueId val="{00000001-E42B-4368-AA61-E2D341BEAFDD}"/>
            </c:ext>
          </c:extLst>
        </c:ser>
        <c:dLbls>
          <c:showLegendKey val="0"/>
          <c:showVal val="0"/>
          <c:showCatName val="0"/>
          <c:showSerName val="0"/>
          <c:showPercent val="0"/>
          <c:showBubbleSize val="0"/>
        </c:dLbls>
        <c:axId val="223836863"/>
        <c:axId val="223836383"/>
      </c:areaChart>
      <c:catAx>
        <c:axId val="22383686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3836383"/>
        <c:crosses val="autoZero"/>
        <c:auto val="1"/>
        <c:lblAlgn val="ctr"/>
        <c:lblOffset val="100"/>
        <c:noMultiLvlLbl val="0"/>
      </c:catAx>
      <c:valAx>
        <c:axId val="223836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3836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Sheet7!A1"/><Relationship Id="rId18" Type="http://schemas.openxmlformats.org/officeDocument/2006/relationships/chart" Target="../charts/chart8.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3.xml"/><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Sheet5!A1"/><Relationship Id="rId6" Type="http://schemas.openxmlformats.org/officeDocument/2006/relationships/image" Target="../media/image5.png"/><Relationship Id="rId11" Type="http://schemas.openxmlformats.org/officeDocument/2006/relationships/hyperlink" Target="#Sheet6!A1"/><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chart" Target="../charts/chart2.xml"/><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6</xdr:col>
      <xdr:colOff>53340</xdr:colOff>
      <xdr:row>25</xdr:row>
      <xdr:rowOff>60960</xdr:rowOff>
    </xdr:from>
    <xdr:to>
      <xdr:col>8</xdr:col>
      <xdr:colOff>297180</xdr:colOff>
      <xdr:row>27</xdr:row>
      <xdr:rowOff>106680</xdr:rowOff>
    </xdr:to>
    <mc:AlternateContent xmlns:mc="http://schemas.openxmlformats.org/markup-compatibility/2006" xmlns:a14="http://schemas.microsoft.com/office/drawing/2010/main">
      <mc:Choice Requires="a14">
        <xdr:graphicFrame macro="">
          <xdr:nvGraphicFramePr>
            <xdr:cNvPr id="17" name="Column1 (Year)">
              <a:extLst>
                <a:ext uri="{FF2B5EF4-FFF2-40B4-BE49-F238E27FC236}">
                  <a16:creationId xmlns:a16="http://schemas.microsoft.com/office/drawing/2014/main" id="{BC8D5E11-F9EA-D918-4A55-5815DB9A8A06}"/>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7764780" y="4632960"/>
              <a:ext cx="1463040"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1935480</xdr:colOff>
      <xdr:row>48</xdr:row>
      <xdr:rowOff>175260</xdr:rowOff>
    </xdr:from>
    <xdr:to>
      <xdr:col>5</xdr:col>
      <xdr:colOff>0</xdr:colOff>
      <xdr:row>50</xdr:row>
      <xdr:rowOff>175260</xdr:rowOff>
    </xdr:to>
    <xdr:graphicFrame macro="">
      <xdr:nvGraphicFramePr>
        <xdr:cNvPr id="19" name="Chart 18">
          <a:extLst>
            <a:ext uri="{FF2B5EF4-FFF2-40B4-BE49-F238E27FC236}">
              <a16:creationId xmlns:a16="http://schemas.microsoft.com/office/drawing/2014/main" id="{F96870FB-CB12-F58B-12C2-4EB46C637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0</xdr:row>
      <xdr:rowOff>83820</xdr:rowOff>
    </xdr:from>
    <xdr:to>
      <xdr:col>8</xdr:col>
      <xdr:colOff>213360</xdr:colOff>
      <xdr:row>4</xdr:row>
      <xdr:rowOff>129540</xdr:rowOff>
    </xdr:to>
    <xdr:sp macro="" textlink="">
      <xdr:nvSpPr>
        <xdr:cNvPr id="2" name="Rectangle 1">
          <a:extLst>
            <a:ext uri="{FF2B5EF4-FFF2-40B4-BE49-F238E27FC236}">
              <a16:creationId xmlns:a16="http://schemas.microsoft.com/office/drawing/2014/main" id="{D04531DC-B1B2-E53F-9783-181FFB9614E1}"/>
            </a:ext>
          </a:extLst>
        </xdr:cNvPr>
        <xdr:cNvSpPr/>
      </xdr:nvSpPr>
      <xdr:spPr>
        <a:xfrm>
          <a:off x="38100" y="83820"/>
          <a:ext cx="5036820" cy="7772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76200</xdr:colOff>
      <xdr:row>4</xdr:row>
      <xdr:rowOff>160020</xdr:rowOff>
    </xdr:from>
    <xdr:to>
      <xdr:col>2</xdr:col>
      <xdr:colOff>22860</xdr:colOff>
      <xdr:row>26</xdr:row>
      <xdr:rowOff>167640</xdr:rowOff>
    </xdr:to>
    <xdr:sp macro="" textlink="">
      <xdr:nvSpPr>
        <xdr:cNvPr id="3" name="Rectangle 2">
          <a:extLst>
            <a:ext uri="{FF2B5EF4-FFF2-40B4-BE49-F238E27FC236}">
              <a16:creationId xmlns:a16="http://schemas.microsoft.com/office/drawing/2014/main" id="{F54B28BB-7382-4907-CBD1-495D7765A9A7}"/>
            </a:ext>
          </a:extLst>
        </xdr:cNvPr>
        <xdr:cNvSpPr/>
      </xdr:nvSpPr>
      <xdr:spPr>
        <a:xfrm>
          <a:off x="76200" y="891540"/>
          <a:ext cx="1165860" cy="403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220980</xdr:colOff>
      <xdr:row>5</xdr:row>
      <xdr:rowOff>7620</xdr:rowOff>
    </xdr:from>
    <xdr:to>
      <xdr:col>4</xdr:col>
      <xdr:colOff>594360</xdr:colOff>
      <xdr:row>12</xdr:row>
      <xdr:rowOff>68580</xdr:rowOff>
    </xdr:to>
    <xdr:sp macro="" textlink="">
      <xdr:nvSpPr>
        <xdr:cNvPr id="4" name="Rectangle 3">
          <a:extLst>
            <a:ext uri="{FF2B5EF4-FFF2-40B4-BE49-F238E27FC236}">
              <a16:creationId xmlns:a16="http://schemas.microsoft.com/office/drawing/2014/main" id="{71BB72DC-541A-1088-D4B8-C9AC25F6506A}"/>
            </a:ext>
          </a:extLst>
        </xdr:cNvPr>
        <xdr:cNvSpPr/>
      </xdr:nvSpPr>
      <xdr:spPr>
        <a:xfrm>
          <a:off x="1440180" y="922020"/>
          <a:ext cx="1592580" cy="1341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175260</xdr:colOff>
      <xdr:row>5</xdr:row>
      <xdr:rowOff>22860</xdr:rowOff>
    </xdr:from>
    <xdr:to>
      <xdr:col>7</xdr:col>
      <xdr:colOff>563880</xdr:colOff>
      <xdr:row>12</xdr:row>
      <xdr:rowOff>83820</xdr:rowOff>
    </xdr:to>
    <xdr:sp macro="" textlink="">
      <xdr:nvSpPr>
        <xdr:cNvPr id="5" name="Rectangle 4">
          <a:extLst>
            <a:ext uri="{FF2B5EF4-FFF2-40B4-BE49-F238E27FC236}">
              <a16:creationId xmlns:a16="http://schemas.microsoft.com/office/drawing/2014/main" id="{BFF76A94-6E07-55DE-5745-A546C7413F3A}"/>
            </a:ext>
          </a:extLst>
        </xdr:cNvPr>
        <xdr:cNvSpPr/>
      </xdr:nvSpPr>
      <xdr:spPr>
        <a:xfrm>
          <a:off x="3223260" y="937260"/>
          <a:ext cx="1592580" cy="1341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266700</xdr:colOff>
      <xdr:row>5</xdr:row>
      <xdr:rowOff>30480</xdr:rowOff>
    </xdr:from>
    <xdr:to>
      <xdr:col>11</xdr:col>
      <xdr:colOff>30480</xdr:colOff>
      <xdr:row>12</xdr:row>
      <xdr:rowOff>91440</xdr:rowOff>
    </xdr:to>
    <xdr:sp macro="" textlink="">
      <xdr:nvSpPr>
        <xdr:cNvPr id="6" name="Rectangle 5">
          <a:extLst>
            <a:ext uri="{FF2B5EF4-FFF2-40B4-BE49-F238E27FC236}">
              <a16:creationId xmlns:a16="http://schemas.microsoft.com/office/drawing/2014/main" id="{480C7C34-400F-74C0-E2F3-54555285C3E5}"/>
            </a:ext>
          </a:extLst>
        </xdr:cNvPr>
        <xdr:cNvSpPr/>
      </xdr:nvSpPr>
      <xdr:spPr>
        <a:xfrm>
          <a:off x="5128260" y="944880"/>
          <a:ext cx="1592580" cy="1341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274320</xdr:colOff>
      <xdr:row>0</xdr:row>
      <xdr:rowOff>91440</xdr:rowOff>
    </xdr:from>
    <xdr:to>
      <xdr:col>11</xdr:col>
      <xdr:colOff>38100</xdr:colOff>
      <xdr:row>4</xdr:row>
      <xdr:rowOff>129540</xdr:rowOff>
    </xdr:to>
    <xdr:sp macro="" textlink="">
      <xdr:nvSpPr>
        <xdr:cNvPr id="7" name="Rectangle 6">
          <a:extLst>
            <a:ext uri="{FF2B5EF4-FFF2-40B4-BE49-F238E27FC236}">
              <a16:creationId xmlns:a16="http://schemas.microsoft.com/office/drawing/2014/main" id="{800DB3A1-4FA6-3D76-50FE-D7518494B451}"/>
            </a:ext>
          </a:extLst>
        </xdr:cNvPr>
        <xdr:cNvSpPr/>
      </xdr:nvSpPr>
      <xdr:spPr>
        <a:xfrm>
          <a:off x="5135880" y="91440"/>
          <a:ext cx="1592580" cy="769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152400</xdr:colOff>
      <xdr:row>13</xdr:row>
      <xdr:rowOff>68580</xdr:rowOff>
    </xdr:from>
    <xdr:to>
      <xdr:col>11</xdr:col>
      <xdr:colOff>68580</xdr:colOff>
      <xdr:row>17</xdr:row>
      <xdr:rowOff>152400</xdr:rowOff>
    </xdr:to>
    <xdr:sp macro="" textlink="">
      <xdr:nvSpPr>
        <xdr:cNvPr id="8" name="Rectangle 7">
          <a:extLst>
            <a:ext uri="{FF2B5EF4-FFF2-40B4-BE49-F238E27FC236}">
              <a16:creationId xmlns:a16="http://schemas.microsoft.com/office/drawing/2014/main" id="{A2A69BB0-E175-4309-94EC-0B6ED588683C}"/>
            </a:ext>
          </a:extLst>
        </xdr:cNvPr>
        <xdr:cNvSpPr/>
      </xdr:nvSpPr>
      <xdr:spPr>
        <a:xfrm>
          <a:off x="1371600" y="2446020"/>
          <a:ext cx="5387340" cy="815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137160</xdr:colOff>
      <xdr:row>18</xdr:row>
      <xdr:rowOff>91440</xdr:rowOff>
    </xdr:from>
    <xdr:to>
      <xdr:col>11</xdr:col>
      <xdr:colOff>83820</xdr:colOff>
      <xdr:row>26</xdr:row>
      <xdr:rowOff>167640</xdr:rowOff>
    </xdr:to>
    <xdr:sp macro="" textlink="">
      <xdr:nvSpPr>
        <xdr:cNvPr id="9" name="Rectangle 8">
          <a:extLst>
            <a:ext uri="{FF2B5EF4-FFF2-40B4-BE49-F238E27FC236}">
              <a16:creationId xmlns:a16="http://schemas.microsoft.com/office/drawing/2014/main" id="{01B75FC3-2338-49CC-ABC0-831F30A109F2}"/>
            </a:ext>
          </a:extLst>
        </xdr:cNvPr>
        <xdr:cNvSpPr/>
      </xdr:nvSpPr>
      <xdr:spPr>
        <a:xfrm>
          <a:off x="1356360" y="3383280"/>
          <a:ext cx="5417820" cy="15392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243840</xdr:colOff>
      <xdr:row>0</xdr:row>
      <xdr:rowOff>114300</xdr:rowOff>
    </xdr:from>
    <xdr:to>
      <xdr:col>14</xdr:col>
      <xdr:colOff>480060</xdr:colOff>
      <xdr:row>12</xdr:row>
      <xdr:rowOff>99060</xdr:rowOff>
    </xdr:to>
    <xdr:sp macro="" textlink="">
      <xdr:nvSpPr>
        <xdr:cNvPr id="10" name="Rectangle 9">
          <a:extLst>
            <a:ext uri="{FF2B5EF4-FFF2-40B4-BE49-F238E27FC236}">
              <a16:creationId xmlns:a16="http://schemas.microsoft.com/office/drawing/2014/main" id="{72C9CB4D-63B0-22D5-A434-CD826A78A2A3}"/>
            </a:ext>
          </a:extLst>
        </xdr:cNvPr>
        <xdr:cNvSpPr/>
      </xdr:nvSpPr>
      <xdr:spPr>
        <a:xfrm>
          <a:off x="6934200" y="114300"/>
          <a:ext cx="2065020" cy="2179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99060</xdr:colOff>
      <xdr:row>0</xdr:row>
      <xdr:rowOff>121920</xdr:rowOff>
    </xdr:from>
    <xdr:to>
      <xdr:col>18</xdr:col>
      <xdr:colOff>335280</xdr:colOff>
      <xdr:row>12</xdr:row>
      <xdr:rowOff>106680</xdr:rowOff>
    </xdr:to>
    <xdr:sp macro="" textlink="">
      <xdr:nvSpPr>
        <xdr:cNvPr id="11" name="Rectangle 10">
          <a:extLst>
            <a:ext uri="{FF2B5EF4-FFF2-40B4-BE49-F238E27FC236}">
              <a16:creationId xmlns:a16="http://schemas.microsoft.com/office/drawing/2014/main" id="{354D6183-9DBC-41B0-8156-C85013C57E28}"/>
            </a:ext>
          </a:extLst>
        </xdr:cNvPr>
        <xdr:cNvSpPr/>
      </xdr:nvSpPr>
      <xdr:spPr>
        <a:xfrm>
          <a:off x="9227820" y="121920"/>
          <a:ext cx="2065020" cy="2179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220980</xdr:colOff>
      <xdr:row>13</xdr:row>
      <xdr:rowOff>68580</xdr:rowOff>
    </xdr:from>
    <xdr:to>
      <xdr:col>18</xdr:col>
      <xdr:colOff>358140</xdr:colOff>
      <xdr:row>26</xdr:row>
      <xdr:rowOff>175260</xdr:rowOff>
    </xdr:to>
    <xdr:sp macro="" textlink="">
      <xdr:nvSpPr>
        <xdr:cNvPr id="12" name="Rectangle 11">
          <a:extLst>
            <a:ext uri="{FF2B5EF4-FFF2-40B4-BE49-F238E27FC236}">
              <a16:creationId xmlns:a16="http://schemas.microsoft.com/office/drawing/2014/main" id="{91E9541A-91F4-4EBC-BEDB-E308A0ECC4DB}"/>
            </a:ext>
          </a:extLst>
        </xdr:cNvPr>
        <xdr:cNvSpPr/>
      </xdr:nvSpPr>
      <xdr:spPr>
        <a:xfrm>
          <a:off x="6911340" y="2446020"/>
          <a:ext cx="4404360" cy="2484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548640</xdr:colOff>
      <xdr:row>1</xdr:row>
      <xdr:rowOff>144780</xdr:rowOff>
    </xdr:from>
    <xdr:to>
      <xdr:col>8</xdr:col>
      <xdr:colOff>137160</xdr:colOff>
      <xdr:row>4</xdr:row>
      <xdr:rowOff>91440</xdr:rowOff>
    </xdr:to>
    <xdr:sp macro="" textlink="">
      <xdr:nvSpPr>
        <xdr:cNvPr id="14" name="TextBox 13">
          <a:extLst>
            <a:ext uri="{FF2B5EF4-FFF2-40B4-BE49-F238E27FC236}">
              <a16:creationId xmlns:a16="http://schemas.microsoft.com/office/drawing/2014/main" id="{1AA87D7D-6A17-07E1-193F-E6AD76E2B74C}"/>
            </a:ext>
          </a:extLst>
        </xdr:cNvPr>
        <xdr:cNvSpPr txBox="1"/>
      </xdr:nvSpPr>
      <xdr:spPr>
        <a:xfrm>
          <a:off x="1158240" y="327660"/>
          <a:ext cx="38404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400"/>
            <a:t>Hospital Emergency Dashboard</a:t>
          </a:r>
        </a:p>
      </xdr:txBody>
    </xdr:sp>
    <xdr:clientData/>
  </xdr:twoCellAnchor>
  <xdr:twoCellAnchor>
    <xdr:from>
      <xdr:col>2</xdr:col>
      <xdr:colOff>388620</xdr:colOff>
      <xdr:row>9</xdr:row>
      <xdr:rowOff>0</xdr:rowOff>
    </xdr:from>
    <xdr:to>
      <xdr:col>5</xdr:col>
      <xdr:colOff>274320</xdr:colOff>
      <xdr:row>10</xdr:row>
      <xdr:rowOff>175260</xdr:rowOff>
    </xdr:to>
    <xdr:sp macro="" textlink="">
      <xdr:nvSpPr>
        <xdr:cNvPr id="19" name="TextBox 18">
          <a:hlinkClick xmlns:r="http://schemas.openxmlformats.org/officeDocument/2006/relationships" r:id="rId1"/>
          <a:extLst>
            <a:ext uri="{FF2B5EF4-FFF2-40B4-BE49-F238E27FC236}">
              <a16:creationId xmlns:a16="http://schemas.microsoft.com/office/drawing/2014/main" id="{14521F4B-C1EB-F44D-E1F5-1EFAADC0DA35}"/>
            </a:ext>
          </a:extLst>
        </xdr:cNvPr>
        <xdr:cNvSpPr txBox="1"/>
      </xdr:nvSpPr>
      <xdr:spPr>
        <a:xfrm>
          <a:off x="1607820" y="1645920"/>
          <a:ext cx="17145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a:t>No.of</a:t>
          </a:r>
          <a:r>
            <a:rPr lang="en-US" sz="2000" baseline="0"/>
            <a:t> Patient</a:t>
          </a:r>
          <a:endParaRPr lang="en-US" sz="2000"/>
        </a:p>
      </xdr:txBody>
    </xdr:sp>
    <xdr:clientData/>
  </xdr:twoCellAnchor>
  <xdr:twoCellAnchor>
    <xdr:from>
      <xdr:col>3</xdr:col>
      <xdr:colOff>53340</xdr:colOff>
      <xdr:row>7</xdr:row>
      <xdr:rowOff>45720</xdr:rowOff>
    </xdr:from>
    <xdr:to>
      <xdr:col>6</xdr:col>
      <xdr:colOff>365760</xdr:colOff>
      <xdr:row>10</xdr:row>
      <xdr:rowOff>22860</xdr:rowOff>
    </xdr:to>
    <xdr:sp macro="" textlink="Sheet1!A6">
      <xdr:nvSpPr>
        <xdr:cNvPr id="20" name="TextBox 19">
          <a:extLst>
            <a:ext uri="{FF2B5EF4-FFF2-40B4-BE49-F238E27FC236}">
              <a16:creationId xmlns:a16="http://schemas.microsoft.com/office/drawing/2014/main" id="{ACB44EC7-E8AB-AE80-76D8-8B6E7E1CE172}"/>
            </a:ext>
          </a:extLst>
        </xdr:cNvPr>
        <xdr:cNvSpPr txBox="1"/>
      </xdr:nvSpPr>
      <xdr:spPr>
        <a:xfrm>
          <a:off x="1882140" y="1325880"/>
          <a:ext cx="21412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4D1892-994F-4FAD-B45F-8DC8501866D2}" type="TxLink">
            <a:rPr lang="en-US" sz="2400" b="0" i="0" u="none" strike="noStrike">
              <a:solidFill>
                <a:srgbClr val="000000"/>
              </a:solidFill>
              <a:latin typeface="Aptos Narrow"/>
            </a:rPr>
            <a:pPr/>
            <a:t>122</a:t>
          </a:fld>
          <a:endParaRPr lang="en-US" sz="2400"/>
        </a:p>
      </xdr:txBody>
    </xdr:sp>
    <xdr:clientData/>
  </xdr:twoCellAnchor>
  <xdr:twoCellAnchor>
    <xdr:from>
      <xdr:col>5</xdr:col>
      <xdr:colOff>167640</xdr:colOff>
      <xdr:row>8</xdr:row>
      <xdr:rowOff>38100</xdr:rowOff>
    </xdr:from>
    <xdr:to>
      <xdr:col>8</xdr:col>
      <xdr:colOff>205740</xdr:colOff>
      <xdr:row>10</xdr:row>
      <xdr:rowOff>30480</xdr:rowOff>
    </xdr:to>
    <xdr:sp macro="" textlink="">
      <xdr:nvSpPr>
        <xdr:cNvPr id="21" name="TextBox 20">
          <a:extLst>
            <a:ext uri="{FF2B5EF4-FFF2-40B4-BE49-F238E27FC236}">
              <a16:creationId xmlns:a16="http://schemas.microsoft.com/office/drawing/2014/main" id="{B5F2E59A-7B89-404B-A8AF-91A7CE145752}"/>
            </a:ext>
          </a:extLst>
        </xdr:cNvPr>
        <xdr:cNvSpPr txBox="1"/>
      </xdr:nvSpPr>
      <xdr:spPr>
        <a:xfrm>
          <a:off x="3215640" y="1501140"/>
          <a:ext cx="18669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a:t>Average wait time</a:t>
          </a:r>
        </a:p>
      </xdr:txBody>
    </xdr:sp>
    <xdr:clientData/>
  </xdr:twoCellAnchor>
  <xdr:twoCellAnchor>
    <xdr:from>
      <xdr:col>5</xdr:col>
      <xdr:colOff>518160</xdr:colOff>
      <xdr:row>6</xdr:row>
      <xdr:rowOff>91440</xdr:rowOff>
    </xdr:from>
    <xdr:to>
      <xdr:col>8</xdr:col>
      <xdr:colOff>403860</xdr:colOff>
      <xdr:row>8</xdr:row>
      <xdr:rowOff>121920</xdr:rowOff>
    </xdr:to>
    <xdr:sp macro="" textlink="Sheet1!D6">
      <xdr:nvSpPr>
        <xdr:cNvPr id="22" name="TextBox 21">
          <a:extLst>
            <a:ext uri="{FF2B5EF4-FFF2-40B4-BE49-F238E27FC236}">
              <a16:creationId xmlns:a16="http://schemas.microsoft.com/office/drawing/2014/main" id="{FB6CA122-11F8-469F-B3C9-8E4596699BA1}"/>
            </a:ext>
          </a:extLst>
        </xdr:cNvPr>
        <xdr:cNvSpPr txBox="1"/>
      </xdr:nvSpPr>
      <xdr:spPr>
        <a:xfrm>
          <a:off x="3566160" y="1188720"/>
          <a:ext cx="17145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680C00F-96B3-4A49-845D-7A8EAA1648B3}" type="TxLink">
            <a:rPr lang="en-US" sz="3200" b="0" i="0" u="none" strike="noStrike">
              <a:solidFill>
                <a:srgbClr val="000000"/>
              </a:solidFill>
              <a:latin typeface="Aptos Narrow"/>
            </a:rPr>
            <a:pPr/>
            <a:t>34.38</a:t>
          </a:fld>
          <a:endParaRPr lang="en-US" sz="3200"/>
        </a:p>
      </xdr:txBody>
    </xdr:sp>
    <xdr:clientData/>
  </xdr:twoCellAnchor>
  <xdr:twoCellAnchor>
    <xdr:from>
      <xdr:col>8</xdr:col>
      <xdr:colOff>297180</xdr:colOff>
      <xdr:row>8</xdr:row>
      <xdr:rowOff>68580</xdr:rowOff>
    </xdr:from>
    <xdr:to>
      <xdr:col>11</xdr:col>
      <xdr:colOff>419100</xdr:colOff>
      <xdr:row>11</xdr:row>
      <xdr:rowOff>114300</xdr:rowOff>
    </xdr:to>
    <xdr:sp macro="" textlink="">
      <xdr:nvSpPr>
        <xdr:cNvPr id="23" name="TextBox 22">
          <a:extLst>
            <a:ext uri="{FF2B5EF4-FFF2-40B4-BE49-F238E27FC236}">
              <a16:creationId xmlns:a16="http://schemas.microsoft.com/office/drawing/2014/main" id="{DE48B936-EA0D-431A-A789-3E86755241F3}"/>
            </a:ext>
          </a:extLst>
        </xdr:cNvPr>
        <xdr:cNvSpPr txBox="1"/>
      </xdr:nvSpPr>
      <xdr:spPr>
        <a:xfrm>
          <a:off x="5173980" y="1531620"/>
          <a:ext cx="19507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Avg.Satisfaction</a:t>
          </a:r>
          <a:r>
            <a:rPr lang="en-US" sz="1400" baseline="0"/>
            <a:t> Score</a:t>
          </a:r>
          <a:endParaRPr lang="en-US" sz="1400"/>
        </a:p>
      </xdr:txBody>
    </xdr:sp>
    <xdr:clientData/>
  </xdr:twoCellAnchor>
  <xdr:twoCellAnchor>
    <xdr:from>
      <xdr:col>9</xdr:col>
      <xdr:colOff>53340</xdr:colOff>
      <xdr:row>6</xdr:row>
      <xdr:rowOff>38100</xdr:rowOff>
    </xdr:from>
    <xdr:to>
      <xdr:col>11</xdr:col>
      <xdr:colOff>548640</xdr:colOff>
      <xdr:row>8</xdr:row>
      <xdr:rowOff>83820</xdr:rowOff>
    </xdr:to>
    <xdr:sp macro="" textlink="Sheet1!F6">
      <xdr:nvSpPr>
        <xdr:cNvPr id="24" name="TextBox 23">
          <a:extLst>
            <a:ext uri="{FF2B5EF4-FFF2-40B4-BE49-F238E27FC236}">
              <a16:creationId xmlns:a16="http://schemas.microsoft.com/office/drawing/2014/main" id="{688E4311-BDA8-4661-A64B-4ED98ED5E6C8}"/>
            </a:ext>
          </a:extLst>
        </xdr:cNvPr>
        <xdr:cNvSpPr txBox="1"/>
      </xdr:nvSpPr>
      <xdr:spPr>
        <a:xfrm>
          <a:off x="5524500" y="1135380"/>
          <a:ext cx="17145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B634F86-5A26-468E-BC95-33A72B90B232}" type="TxLink">
            <a:rPr lang="en-US" sz="3200" b="0" i="0" u="none" strike="noStrike">
              <a:solidFill>
                <a:srgbClr val="000000"/>
              </a:solidFill>
              <a:latin typeface="Aptos Narrow"/>
            </a:rPr>
            <a:pPr/>
            <a:t>5.33</a:t>
          </a:fld>
          <a:endParaRPr lang="en-US" sz="3200"/>
        </a:p>
      </xdr:txBody>
    </xdr:sp>
    <xdr:clientData/>
  </xdr:twoCellAnchor>
  <xdr:twoCellAnchor editAs="oneCell">
    <xdr:from>
      <xdr:col>0</xdr:col>
      <xdr:colOff>99060</xdr:colOff>
      <xdr:row>0</xdr:row>
      <xdr:rowOff>53340</xdr:rowOff>
    </xdr:from>
    <xdr:to>
      <xdr:col>1</xdr:col>
      <xdr:colOff>403860</xdr:colOff>
      <xdr:row>5</xdr:row>
      <xdr:rowOff>53340</xdr:rowOff>
    </xdr:to>
    <xdr:pic>
      <xdr:nvPicPr>
        <xdr:cNvPr id="48" name="Graphic 47" descr="Hospital with solid fill">
          <a:extLst>
            <a:ext uri="{FF2B5EF4-FFF2-40B4-BE49-F238E27FC236}">
              <a16:creationId xmlns:a16="http://schemas.microsoft.com/office/drawing/2014/main" id="{CEADE171-B2F5-3BE2-D7A9-D84CCED6C6A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9060" y="53340"/>
          <a:ext cx="914400" cy="914400"/>
        </a:xfrm>
        <a:prstGeom prst="rect">
          <a:avLst/>
        </a:prstGeom>
      </xdr:spPr>
    </xdr:pic>
    <xdr:clientData/>
  </xdr:twoCellAnchor>
  <xdr:twoCellAnchor editAs="oneCell">
    <xdr:from>
      <xdr:col>2</xdr:col>
      <xdr:colOff>571500</xdr:colOff>
      <xdr:row>4</xdr:row>
      <xdr:rowOff>137160</xdr:rowOff>
    </xdr:from>
    <xdr:to>
      <xdr:col>4</xdr:col>
      <xdr:colOff>198120</xdr:colOff>
      <xdr:row>8</xdr:row>
      <xdr:rowOff>30480</xdr:rowOff>
    </xdr:to>
    <xdr:pic>
      <xdr:nvPicPr>
        <xdr:cNvPr id="50" name="Graphic 49" descr="Office worker male with solid fill">
          <a:extLst>
            <a:ext uri="{FF2B5EF4-FFF2-40B4-BE49-F238E27FC236}">
              <a16:creationId xmlns:a16="http://schemas.microsoft.com/office/drawing/2014/main" id="{8D53FC11-4C49-6F90-A5E6-29D0B8928B8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90700" y="868680"/>
          <a:ext cx="845820" cy="624840"/>
        </a:xfrm>
        <a:prstGeom prst="rect">
          <a:avLst/>
        </a:prstGeom>
      </xdr:spPr>
    </xdr:pic>
    <xdr:clientData/>
  </xdr:twoCellAnchor>
  <xdr:twoCellAnchor editAs="oneCell">
    <xdr:from>
      <xdr:col>5</xdr:col>
      <xdr:colOff>518160</xdr:colOff>
      <xdr:row>5</xdr:row>
      <xdr:rowOff>7620</xdr:rowOff>
    </xdr:from>
    <xdr:to>
      <xdr:col>7</xdr:col>
      <xdr:colOff>228600</xdr:colOff>
      <xdr:row>6</xdr:row>
      <xdr:rowOff>175260</xdr:rowOff>
    </xdr:to>
    <xdr:pic>
      <xdr:nvPicPr>
        <xdr:cNvPr id="52" name="Graphic 51" descr="Hourglass Finished with solid fill">
          <a:extLst>
            <a:ext uri="{FF2B5EF4-FFF2-40B4-BE49-F238E27FC236}">
              <a16:creationId xmlns:a16="http://schemas.microsoft.com/office/drawing/2014/main" id="{AEA41FBC-6742-C817-3F19-47D178C9A1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66160" y="922020"/>
          <a:ext cx="914400" cy="350520"/>
        </a:xfrm>
        <a:prstGeom prst="rect">
          <a:avLst/>
        </a:prstGeom>
      </xdr:spPr>
    </xdr:pic>
    <xdr:clientData/>
  </xdr:twoCellAnchor>
  <xdr:twoCellAnchor editAs="oneCell">
    <xdr:from>
      <xdr:col>8</xdr:col>
      <xdr:colOff>533400</xdr:colOff>
      <xdr:row>5</xdr:row>
      <xdr:rowOff>7620</xdr:rowOff>
    </xdr:from>
    <xdr:to>
      <xdr:col>10</xdr:col>
      <xdr:colOff>228600</xdr:colOff>
      <xdr:row>7</xdr:row>
      <xdr:rowOff>0</xdr:rowOff>
    </xdr:to>
    <xdr:pic>
      <xdr:nvPicPr>
        <xdr:cNvPr id="54" name="Graphic 53" descr="Checklist with solid fill">
          <a:extLst>
            <a:ext uri="{FF2B5EF4-FFF2-40B4-BE49-F238E27FC236}">
              <a16:creationId xmlns:a16="http://schemas.microsoft.com/office/drawing/2014/main" id="{BB5DAE50-A82B-C19F-A1B3-A2BF7257990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10200" y="922020"/>
          <a:ext cx="914400" cy="358140"/>
        </a:xfrm>
        <a:prstGeom prst="rect">
          <a:avLst/>
        </a:prstGeom>
      </xdr:spPr>
    </xdr:pic>
    <xdr:clientData/>
  </xdr:twoCellAnchor>
  <xdr:twoCellAnchor editAs="oneCell">
    <xdr:from>
      <xdr:col>0</xdr:col>
      <xdr:colOff>83820</xdr:colOff>
      <xdr:row>4</xdr:row>
      <xdr:rowOff>167640</xdr:rowOff>
    </xdr:from>
    <xdr:to>
      <xdr:col>2</xdr:col>
      <xdr:colOff>7620</xdr:colOff>
      <xdr:row>26</xdr:row>
      <xdr:rowOff>114300</xdr:rowOff>
    </xdr:to>
    <mc:AlternateContent xmlns:mc="http://schemas.openxmlformats.org/markup-compatibility/2006" xmlns:a14="http://schemas.microsoft.com/office/drawing/2010/main">
      <mc:Choice Requires="a14">
        <xdr:graphicFrame macro="">
          <xdr:nvGraphicFramePr>
            <xdr:cNvPr id="56" name="Column1 (Month) 1">
              <a:extLst>
                <a:ext uri="{FF2B5EF4-FFF2-40B4-BE49-F238E27FC236}">
                  <a16:creationId xmlns:a16="http://schemas.microsoft.com/office/drawing/2014/main" id="{FF1C9467-B655-460B-B610-7A3FC61F4803}"/>
                </a:ext>
              </a:extLst>
            </xdr:cNvPr>
            <xdr:cNvGraphicFramePr/>
          </xdr:nvGraphicFramePr>
          <xdr:xfrm>
            <a:off x="0" y="0"/>
            <a:ext cx="0" cy="0"/>
          </xdr:xfrm>
          <a:graphic>
            <a:graphicData uri="http://schemas.microsoft.com/office/drawing/2010/slicer">
              <sle:slicer xmlns:sle="http://schemas.microsoft.com/office/drawing/2010/slicer" name="Column1 (Month) 1"/>
            </a:graphicData>
          </a:graphic>
        </xdr:graphicFrame>
      </mc:Choice>
      <mc:Fallback xmlns="">
        <xdr:sp macro="" textlink="">
          <xdr:nvSpPr>
            <xdr:cNvPr id="0" name=""/>
            <xdr:cNvSpPr>
              <a:spLocks noTextEdit="1"/>
            </xdr:cNvSpPr>
          </xdr:nvSpPr>
          <xdr:spPr>
            <a:xfrm>
              <a:off x="83820" y="899160"/>
              <a:ext cx="1143000" cy="3970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220980</xdr:colOff>
      <xdr:row>10</xdr:row>
      <xdr:rowOff>91440</xdr:rowOff>
    </xdr:from>
    <xdr:to>
      <xdr:col>4</xdr:col>
      <xdr:colOff>586740</xdr:colOff>
      <xdr:row>12</xdr:row>
      <xdr:rowOff>38100</xdr:rowOff>
    </xdr:to>
    <xdr:graphicFrame macro="">
      <xdr:nvGraphicFramePr>
        <xdr:cNvPr id="58" name="Chart 57">
          <a:hlinkClick xmlns:r="http://schemas.openxmlformats.org/officeDocument/2006/relationships" r:id="rId1"/>
          <a:extLst>
            <a:ext uri="{FF2B5EF4-FFF2-40B4-BE49-F238E27FC236}">
              <a16:creationId xmlns:a16="http://schemas.microsoft.com/office/drawing/2014/main" id="{4EA85140-5747-47AF-B03C-E835F8A06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175260</xdr:colOff>
      <xdr:row>9</xdr:row>
      <xdr:rowOff>106680</xdr:rowOff>
    </xdr:from>
    <xdr:to>
      <xdr:col>7</xdr:col>
      <xdr:colOff>548640</xdr:colOff>
      <xdr:row>12</xdr:row>
      <xdr:rowOff>83820</xdr:rowOff>
    </xdr:to>
    <xdr:graphicFrame macro="">
      <xdr:nvGraphicFramePr>
        <xdr:cNvPr id="60" name="Chart 59">
          <a:hlinkClick xmlns:r="http://schemas.openxmlformats.org/officeDocument/2006/relationships" r:id="rId11"/>
          <a:extLst>
            <a:ext uri="{FF2B5EF4-FFF2-40B4-BE49-F238E27FC236}">
              <a16:creationId xmlns:a16="http://schemas.microsoft.com/office/drawing/2014/main" id="{EB556353-EEDA-4650-A884-8F8DF5F2B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228600</xdr:colOff>
      <xdr:row>9</xdr:row>
      <xdr:rowOff>91440</xdr:rowOff>
    </xdr:from>
    <xdr:to>
      <xdr:col>11</xdr:col>
      <xdr:colOff>53340</xdr:colOff>
      <xdr:row>12</xdr:row>
      <xdr:rowOff>99060</xdr:rowOff>
    </xdr:to>
    <xdr:graphicFrame macro="">
      <xdr:nvGraphicFramePr>
        <xdr:cNvPr id="61" name="Chart 60">
          <a:hlinkClick xmlns:r="http://schemas.openxmlformats.org/officeDocument/2006/relationships" r:id="rId13"/>
          <a:extLst>
            <a:ext uri="{FF2B5EF4-FFF2-40B4-BE49-F238E27FC236}">
              <a16:creationId xmlns:a16="http://schemas.microsoft.com/office/drawing/2014/main" id="{B98F3C07-EAD1-4FC0-91FB-E059BA8F4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220980</xdr:colOff>
      <xdr:row>13</xdr:row>
      <xdr:rowOff>68580</xdr:rowOff>
    </xdr:from>
    <xdr:to>
      <xdr:col>18</xdr:col>
      <xdr:colOff>350520</xdr:colOff>
      <xdr:row>26</xdr:row>
      <xdr:rowOff>160020</xdr:rowOff>
    </xdr:to>
    <xdr:graphicFrame macro="">
      <xdr:nvGraphicFramePr>
        <xdr:cNvPr id="63" name="Chart 62">
          <a:extLst>
            <a:ext uri="{FF2B5EF4-FFF2-40B4-BE49-F238E27FC236}">
              <a16:creationId xmlns:a16="http://schemas.microsoft.com/office/drawing/2014/main" id="{13643ECB-B188-4426-95FC-BDBD1985A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99060</xdr:colOff>
      <xdr:row>0</xdr:row>
      <xdr:rowOff>121920</xdr:rowOff>
    </xdr:from>
    <xdr:to>
      <xdr:col>18</xdr:col>
      <xdr:colOff>327660</xdr:colOff>
      <xdr:row>12</xdr:row>
      <xdr:rowOff>121920</xdr:rowOff>
    </xdr:to>
    <xdr:graphicFrame macro="">
      <xdr:nvGraphicFramePr>
        <xdr:cNvPr id="65" name="Chart 64">
          <a:extLst>
            <a:ext uri="{FF2B5EF4-FFF2-40B4-BE49-F238E27FC236}">
              <a16:creationId xmlns:a16="http://schemas.microsoft.com/office/drawing/2014/main" id="{D3AA0852-A024-426A-9B32-1632025D9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243840</xdr:colOff>
      <xdr:row>0</xdr:row>
      <xdr:rowOff>114300</xdr:rowOff>
    </xdr:from>
    <xdr:to>
      <xdr:col>14</xdr:col>
      <xdr:colOff>487680</xdr:colOff>
      <xdr:row>12</xdr:row>
      <xdr:rowOff>91440</xdr:rowOff>
    </xdr:to>
    <xdr:graphicFrame macro="">
      <xdr:nvGraphicFramePr>
        <xdr:cNvPr id="67" name="Chart 66">
          <a:extLst>
            <a:ext uri="{FF2B5EF4-FFF2-40B4-BE49-F238E27FC236}">
              <a16:creationId xmlns:a16="http://schemas.microsoft.com/office/drawing/2014/main" id="{4B30CE42-2C49-4E50-9333-15BEA72B6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137160</xdr:colOff>
      <xdr:row>18</xdr:row>
      <xdr:rowOff>91440</xdr:rowOff>
    </xdr:from>
    <xdr:to>
      <xdr:col>11</xdr:col>
      <xdr:colOff>91440</xdr:colOff>
      <xdr:row>26</xdr:row>
      <xdr:rowOff>175260</xdr:rowOff>
    </xdr:to>
    <xdr:graphicFrame macro="">
      <xdr:nvGraphicFramePr>
        <xdr:cNvPr id="69" name="Chart 68">
          <a:extLst>
            <a:ext uri="{FF2B5EF4-FFF2-40B4-BE49-F238E27FC236}">
              <a16:creationId xmlns:a16="http://schemas.microsoft.com/office/drawing/2014/main" id="{5A00BAF0-CAFD-44CD-89C0-284D5DAEF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297180</xdr:colOff>
      <xdr:row>2</xdr:row>
      <xdr:rowOff>30480</xdr:rowOff>
    </xdr:from>
    <xdr:to>
      <xdr:col>11</xdr:col>
      <xdr:colOff>53340</xdr:colOff>
      <xdr:row>4</xdr:row>
      <xdr:rowOff>76200</xdr:rowOff>
    </xdr:to>
    <mc:AlternateContent xmlns:mc="http://schemas.openxmlformats.org/markup-compatibility/2006" xmlns:a14="http://schemas.microsoft.com/office/drawing/2010/main">
      <mc:Choice Requires="a14">
        <xdr:graphicFrame macro="">
          <xdr:nvGraphicFramePr>
            <xdr:cNvPr id="71" name="Column1 (Year) 1">
              <a:extLst>
                <a:ext uri="{FF2B5EF4-FFF2-40B4-BE49-F238E27FC236}">
                  <a16:creationId xmlns:a16="http://schemas.microsoft.com/office/drawing/2014/main" id="{920FD86D-4CAA-41DC-A15B-D12741E44211}"/>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mlns="">
        <xdr:sp macro="" textlink="">
          <xdr:nvSpPr>
            <xdr:cNvPr id="0" name=""/>
            <xdr:cNvSpPr>
              <a:spLocks noTextEdit="1"/>
            </xdr:cNvSpPr>
          </xdr:nvSpPr>
          <xdr:spPr>
            <a:xfrm>
              <a:off x="5158740" y="396240"/>
              <a:ext cx="1584960"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312420</xdr:colOff>
      <xdr:row>0</xdr:row>
      <xdr:rowOff>106680</xdr:rowOff>
    </xdr:from>
    <xdr:to>
      <xdr:col>11</xdr:col>
      <xdr:colOff>22860</xdr:colOff>
      <xdr:row>1</xdr:row>
      <xdr:rowOff>121920</xdr:rowOff>
    </xdr:to>
    <xdr:sp macro="" textlink="">
      <xdr:nvSpPr>
        <xdr:cNvPr id="72" name="TextBox 71">
          <a:extLst>
            <a:ext uri="{FF2B5EF4-FFF2-40B4-BE49-F238E27FC236}">
              <a16:creationId xmlns:a16="http://schemas.microsoft.com/office/drawing/2014/main" id="{43BB77CB-D38F-E132-C095-234148EB6EFE}"/>
            </a:ext>
          </a:extLst>
        </xdr:cNvPr>
        <xdr:cNvSpPr txBox="1"/>
      </xdr:nvSpPr>
      <xdr:spPr>
        <a:xfrm>
          <a:off x="5173980" y="106680"/>
          <a:ext cx="1539240" cy="19812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SELECT YEAR</a:t>
          </a:r>
        </a:p>
      </xdr:txBody>
    </xdr:sp>
    <xdr:clientData/>
  </xdr:twoCellAnchor>
  <xdr:twoCellAnchor editAs="oneCell">
    <xdr:from>
      <xdr:col>2</xdr:col>
      <xdr:colOff>129540</xdr:colOff>
      <xdr:row>13</xdr:row>
      <xdr:rowOff>68580</xdr:rowOff>
    </xdr:from>
    <xdr:to>
      <xdr:col>11</xdr:col>
      <xdr:colOff>83819</xdr:colOff>
      <xdr:row>18</xdr:row>
      <xdr:rowOff>0</xdr:rowOff>
    </xdr:to>
    <xdr:pic>
      <xdr:nvPicPr>
        <xdr:cNvPr id="75" name="Picture 74">
          <a:extLst>
            <a:ext uri="{FF2B5EF4-FFF2-40B4-BE49-F238E27FC236}">
              <a16:creationId xmlns:a16="http://schemas.microsoft.com/office/drawing/2014/main" id="{3249A895-EAA2-1F99-1754-CE9EA62B0777}"/>
            </a:ext>
          </a:extLst>
        </xdr:cNvPr>
        <xdr:cNvPicPr>
          <a:picLocks noChangeAspect="1"/>
        </xdr:cNvPicPr>
      </xdr:nvPicPr>
      <xdr:blipFill>
        <a:blip xmlns:r="http://schemas.openxmlformats.org/officeDocument/2006/relationships" r:embed="rId19"/>
        <a:stretch>
          <a:fillRect/>
        </a:stretch>
      </xdr:blipFill>
      <xdr:spPr>
        <a:xfrm>
          <a:off x="1348740" y="2446020"/>
          <a:ext cx="5425439" cy="845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xdr:colOff>
      <xdr:row>0</xdr:row>
      <xdr:rowOff>106680</xdr:rowOff>
    </xdr:from>
    <xdr:to>
      <xdr:col>19</xdr:col>
      <xdr:colOff>205740</xdr:colOff>
      <xdr:row>22</xdr:row>
      <xdr:rowOff>0</xdr:rowOff>
    </xdr:to>
    <xdr:graphicFrame macro="">
      <xdr:nvGraphicFramePr>
        <xdr:cNvPr id="2" name="Chart 1">
          <a:extLst>
            <a:ext uri="{FF2B5EF4-FFF2-40B4-BE49-F238E27FC236}">
              <a16:creationId xmlns:a16="http://schemas.microsoft.com/office/drawing/2014/main" id="{B293B690-5630-49B3-8B69-DFE419220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91440</xdr:colOff>
      <xdr:row>0</xdr:row>
      <xdr:rowOff>68580</xdr:rowOff>
    </xdr:from>
    <xdr:to>
      <xdr:col>20</xdr:col>
      <xdr:colOff>419100</xdr:colOff>
      <xdr:row>23</xdr:row>
      <xdr:rowOff>0</xdr:rowOff>
    </xdr:to>
    <xdr:graphicFrame macro="">
      <xdr:nvGraphicFramePr>
        <xdr:cNvPr id="2" name="Chart 1">
          <a:extLst>
            <a:ext uri="{FF2B5EF4-FFF2-40B4-BE49-F238E27FC236}">
              <a16:creationId xmlns:a16="http://schemas.microsoft.com/office/drawing/2014/main" id="{43D3996B-9CFC-4E0C-AD12-EF42DB312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106680</xdr:rowOff>
    </xdr:from>
    <xdr:to>
      <xdr:col>15</xdr:col>
      <xdr:colOff>571500</xdr:colOff>
      <xdr:row>21</xdr:row>
      <xdr:rowOff>0</xdr:rowOff>
    </xdr:to>
    <xdr:graphicFrame macro="">
      <xdr:nvGraphicFramePr>
        <xdr:cNvPr id="3" name="Chart 2">
          <a:extLst>
            <a:ext uri="{FF2B5EF4-FFF2-40B4-BE49-F238E27FC236}">
              <a16:creationId xmlns:a16="http://schemas.microsoft.com/office/drawing/2014/main" id="{E118F198-5A53-4A7C-87CC-2D0EA16E8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496990738" backgroundQuery="1" createdVersion="8" refreshedVersion="8" minRefreshableVersion="3" recordCount="0" supportSubquery="1" supportAdvancedDrill="1" xr:uid="{9FB83494-9A3D-4797-AA7A-1BAA112EBF58}">
  <cacheSource type="external" connectionId="3"/>
  <cacheFields count="5">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4" level="32767"/>
    <cacheField name="[Calender_Table].[Column1 (Year)].[Column1 (Year)]" caption="Column1 (Year)" numFmtId="0" hierarchy="3" level="1">
      <sharedItems count="1">
        <s v="2023"/>
      </sharedItems>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4974537" backgroundQuery="1" createdVersion="8" refreshedVersion="8" minRefreshableVersion="3" recordCount="0" supportSubquery="1" supportAdvancedDrill="1" xr:uid="{ADBFA4A6-6309-4789-86BB-E25F392A6ED4}">
  <cacheSource type="external" connectionId="3"/>
  <cacheFields count="5">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Hospital Emergency Room Data].[Age Group].[Age Group]" caption="Age Group" numFmtId="0" hierarchy="17" level="1">
      <sharedItems count="7">
        <s v="0-9"/>
        <s v="20-29"/>
        <s v="30-39"/>
        <s v="40-49"/>
        <s v="50-59"/>
        <s v="60-69"/>
        <s v="70-79"/>
      </sharedItems>
    </cacheField>
    <cacheField name="[Calender_Table].[Column1 (Year)].[Column1 (Year)]" caption="Column1 (Year)" numFmtId="0" hierarchy="3" level="1">
      <sharedItems containsSemiMixedTypes="0" containsNonDate="0" containsString="0"/>
    </cacheField>
    <cacheField name="[Measures].[Count of Age Group]" caption="Count of Age Group" numFmtId="0" hierarchy="30" level="32767"/>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498263885" backgroundQuery="1" createdVersion="8" refreshedVersion="8" minRefreshableVersion="3" recordCount="0" supportSubquery="1" supportAdvancedDrill="1" xr:uid="{8507253D-0E04-4180-B75A-276062810F0D}">
  <cacheSource type="external" connectionId="3"/>
  <cacheFields count="5">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Column1 (Year)].[Column1 (Year)]" caption="Column1 (Year)" numFmtId="0" hierarchy="3" level="1">
      <sharedItems containsSemiMixedTypes="0" containsNonDate="0" containsString="0"/>
    </cacheField>
    <cacheField name="[Measures].[Count of Department Referral]" caption="Count of Department Referral" numFmtId="0" hierarchy="31" level="32767"/>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498842593" backgroundQuery="1" createdVersion="8" refreshedVersion="8" minRefreshableVersion="3" recordCount="0" supportSubquery="1" supportAdvancedDrill="1" xr:uid="{74C39290-DBA0-49BD-8B83-37042EC6480C}">
  <cacheSource type="external" connectionId="3"/>
  <cacheFields count="5">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Calender_Table].[Column1 (Year)].[Column1 (Year)]" caption="Column1 (Year)" numFmtId="0" hierarchy="3" level="1">
      <sharedItems containsSemiMixedTypes="0" containsNonDate="0" containsString="0"/>
    </cacheField>
    <cacheField name="[Measures].[Count of Patient Gender]" caption="Count of Patient Gender" numFmtId="0" hierarchy="29" level="32767"/>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498958332" backgroundQuery="1" createdVersion="8" refreshedVersion="8" minRefreshableVersion="3" recordCount="0" supportSubquery="1" supportAdvancedDrill="1" xr:uid="{7DC417B2-DCD4-486E-A3C2-3CC1C96616CC}">
  <cacheSource type="external" connectionId="3"/>
  <cacheFields count="3">
    <cacheField name="[Measures].[Count of Patient Id]" caption="Count of Patient Id" numFmtId="0" hierarchy="24"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49953704" backgroundQuery="1" createdVersion="8" refreshedVersion="8" minRefreshableVersion="3" recordCount="0" supportSubquery="1" supportAdvancedDrill="1" xr:uid="{A93B6137-D73F-4D00-951A-912B651BD963}">
  <cacheSource type="external" connectionId="3"/>
  <cacheFields count="4">
    <cacheField name="[Calender_Table].[Column1 (Day)].[Column1 (Day)]" caption="Column1 (Day)" numFmtId="0" hierarchy="2" level="1">
      <sharedItems count="163">
        <s v="4-Jun"/>
        <s v="5-Jun"/>
        <s v="6-Jun"/>
        <s v="7-Jun"/>
        <s v="8-Jun"/>
        <s v="9-Jun"/>
        <s v="10-Jun"/>
        <s v="11-Jun"/>
        <s v="12-Jun"/>
        <s v="1-Jun" u="1"/>
        <s v="2-Jun" u="1"/>
        <s v="3-Jun" u="1"/>
        <s v="4-Mar" u="1"/>
        <s v="5-Mar" u="1"/>
        <s v="6-Mar" u="1"/>
        <s v="7-Mar" u="1"/>
        <s v="8-Mar" u="1"/>
        <s v="9-Mar" u="1"/>
        <s v="10-Mar" u="1"/>
        <s v="11-Mar" u="1"/>
        <s v="12-Mar" u="1"/>
        <s v="4-Jan" u="1"/>
        <s v="5-Jan" u="1"/>
        <s v="6-Jan" u="1"/>
        <s v="7-Jan" u="1"/>
        <s v="8-Jan" u="1"/>
        <s v="9-Jan" u="1"/>
        <s v="10-Jan" u="1"/>
        <s v="11-Jan" u="1"/>
        <s v="12-Jan" u="1"/>
        <s v="4-Aug" u="1"/>
        <s v="5-Aug" u="1"/>
        <s v="6-Aug" u="1"/>
        <s v="7-Aug" u="1"/>
        <s v="8-Aug" u="1"/>
        <s v="9-Aug" u="1"/>
        <s v="10-Aug" u="1"/>
        <s v="11-Aug" u="1"/>
        <s v="12-Aug" u="1"/>
        <s v="1-May" u="1"/>
        <s v="2-May" u="1"/>
        <s v="3-May" u="1"/>
        <s v="4-May" u="1"/>
        <s v="5-May" u="1"/>
        <s v="6-May" u="1"/>
        <s v="7-May" u="1"/>
        <s v="8-May" u="1"/>
        <s v="9-May" u="1"/>
        <s v="10-May" u="1"/>
        <s v="11-May" u="1"/>
        <s v="12-May" u="1"/>
        <s v="1-Mar" u="1"/>
        <s v="2-Mar" u="1"/>
        <s v="3-Mar" u="1"/>
        <s v="1-Jan" u="1"/>
        <s v="2-Jan" u="1"/>
        <s v="3-Jan" u="1"/>
        <s v="1-Apr" u="1"/>
        <s v="2-Apr" u="1"/>
        <s v="3-Apr" u="1"/>
        <s v="4-Apr" u="1"/>
        <s v="5-Apr" u="1"/>
        <s v="6-Apr" u="1"/>
        <s v="7-Apr" u="1"/>
        <s v="8-Apr" u="1"/>
        <s v="9-Apr" u="1"/>
        <s v="10-Apr" u="1"/>
        <s v="11-Apr" u="1"/>
        <s v="12-Apr"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 v="1-Aug" u="1"/>
        <s v="2-Aug" u="1"/>
        <s v="3-Aug" u="1"/>
        <s v="1-Feb" u="1"/>
        <s v="2-Feb" u="1"/>
        <s v="3-Feb" u="1"/>
        <s v="4-Feb" u="1"/>
        <s v="5-Feb" u="1"/>
        <s v="6-Feb" u="1"/>
        <s v="7-Feb" u="1"/>
        <s v="8-Feb" u="1"/>
        <s v="9-Feb" u="1"/>
        <s v="10-Feb" u="1"/>
        <s v="11-Feb" u="1"/>
        <s v="12-Feb" u="1"/>
        <s v="13-Jan" u="1"/>
        <s v="14-Jan" u="1"/>
        <s v="15-Jan" u="1"/>
        <s v="16-Jan" u="1"/>
        <s v="17-Jan" u="1"/>
        <s v="18-Jan" u="1"/>
        <s v="19-Jan" u="1"/>
        <s v="20-Jan" u="1"/>
        <s v="21-Jan" u="1"/>
        <s v="22-Jan" u="1"/>
        <s v="23-Jan" u="1"/>
        <s v="24-Jan" u="1"/>
        <s v="25-Jan" u="1"/>
        <s v="26-Jan" u="1"/>
        <s v="27-Jan" u="1"/>
        <s v="28-Jan" u="1"/>
        <s v="29-Jan" u="1"/>
        <s v="30-Jan" u="1"/>
        <s v="31-Jan" u="1"/>
        <s v="1-Jul" u="1"/>
        <s v="2-Jul" u="1"/>
        <s v="3-Jul" u="1"/>
        <s v="4-Jul" u="1"/>
        <s v="5-Jul" u="1"/>
        <s v="6-Jul" u="1"/>
        <s v="7-Jul" u="1"/>
        <s v="8-Jul" u="1"/>
        <s v="9-Jul" u="1"/>
        <s v="10-Jul" u="1"/>
        <s v="11-Jul" u="1"/>
        <s v="12-Jul" u="1"/>
        <s v="1-Sep" u="1"/>
        <s v="2-Sep" u="1"/>
        <s v="3-Sep" u="1"/>
        <s v="4-Sep" u="1"/>
        <s v="5-Sep" u="1"/>
        <s v="6-Sep" u="1"/>
        <s v="7-Sep" u="1"/>
        <s v="8-Sep" u="1"/>
        <s v="9-Sep" u="1"/>
        <s v="10-Sep" u="1"/>
        <s v="11-Sep" u="1"/>
        <s v="12-Sep" u="1"/>
      </sharedItems>
    </cacheField>
    <cacheField name="[Calender_Table].[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0000002" backgroundQuery="1" createdVersion="8" refreshedVersion="8" minRefreshableVersion="3" recordCount="0" supportSubquery="1" supportAdvancedDrill="1" xr:uid="{96B6588A-AEB8-4AC5-B427-07CA37CAFA0F}">
  <cacheSource type="external" connectionId="3"/>
  <cacheFields count="5">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Measures].[Count of Patient Id]" caption="Count of Patient Id" numFmtId="0" hierarchy="24" level="32767"/>
    <cacheField name="[Hospital Emergency Room Data].[Calculated Column 1].[Calculated Column 1]" caption="Calculated Column 1" numFmtId="0" hierarchy="18" level="1">
      <sharedItems count="2">
        <s v="Delay"/>
        <s v="On-Time"/>
      </sharedItems>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3"/>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0462963" backgroundQuery="1" createdVersion="8" refreshedVersion="8" minRefreshableVersion="3" recordCount="0" supportSubquery="1" supportAdvancedDrill="1" xr:uid="{B715C540-6FB5-4901-B84D-4233911946E8}">
  <cacheSource type="external" connectionId="3"/>
  <cacheFields count="6">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4" level="32767"/>
    <cacheField name="[Hospital Emergency Room Data].[Patient Admission Flag].[Patient Admission Flag]" caption="Patient Admission Flag" numFmtId="0" hierarchy="13" level="1">
      <sharedItems count="2">
        <s v="Admitted"/>
        <s v="Not Admitted"/>
      </sharedItems>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5"/>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4"/>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0925925" backgroundQuery="1" createdVersion="8" refreshedVersion="8" minRefreshableVersion="3" recordCount="0" supportSubquery="1" supportAdvancedDrill="1" xr:uid="{9C68FCEB-EC70-4191-A429-F9DE9F8DC71E}">
  <cacheSource type="external" connectionId="3"/>
  <cacheFields count="7">
    <cacheField name="[Calender_Table].[Column1 (Day)].[Column1 (Day)]" caption="Column1 (Day)" numFmtId="0" hierarchy="2" level="1">
      <sharedItems count="163">
        <s v="1-Jan"/>
        <s v="2-Jan"/>
        <s v="3-Jan"/>
        <s v="4-Jan"/>
        <s v="5-Jan"/>
        <s v="6-Jan"/>
        <s v="7-Jan"/>
        <s v="8-Jan"/>
        <s v="9-Jan"/>
        <s v="10-Jan"/>
        <s v="11-Jan"/>
        <s v="12-Jan"/>
        <s v="13-Jan" u="1"/>
        <s v="14-Jan" u="1"/>
        <s v="15-Jan" u="1"/>
        <s v="16-Jan" u="1"/>
        <s v="17-Jan" u="1"/>
        <s v="18-Jan" u="1"/>
        <s v="19-Jan" u="1"/>
        <s v="20-Jan" u="1"/>
        <s v="21-Jan" u="1"/>
        <s v="22-Jan" u="1"/>
        <s v="23-Jan" u="1"/>
        <s v="24-Jan" u="1"/>
        <s v="25-Jan" u="1"/>
        <s v="26-Jan" u="1"/>
        <s v="27-Jan" u="1"/>
        <s v="28-Jan" u="1"/>
        <s v="29-Jan" u="1"/>
        <s v="30-Jan" u="1"/>
        <s v="31-Jan" u="1"/>
        <s v="1-May" u="1"/>
        <s v="2-May" u="1"/>
        <s v="3-May" u="1"/>
        <s v="4-May" u="1"/>
        <s v="5-May" u="1"/>
        <s v="6-May" u="1"/>
        <s v="7-May" u="1"/>
        <s v="8-May" u="1"/>
        <s v="9-May" u="1"/>
        <s v="10-May" u="1"/>
        <s v="11-May" u="1"/>
        <s v="12-May" u="1"/>
        <s v="1-Feb" u="1"/>
        <s v="2-Feb" u="1"/>
        <s v="3-Feb" u="1"/>
        <s v="4-Feb" u="1"/>
        <s v="5-Feb" u="1"/>
        <s v="6-Feb" u="1"/>
        <s v="7-Feb" u="1"/>
        <s v="8-Feb" u="1"/>
        <s v="9-Feb" u="1"/>
        <s v="10-Feb" u="1"/>
        <s v="11-Feb" u="1"/>
        <s v="12-Feb" u="1"/>
        <s v="1-Mar" u="1"/>
        <s v="2-Mar" u="1"/>
        <s v="3-Mar" u="1"/>
        <s v="4-Mar" u="1"/>
        <s v="5-Mar" u="1"/>
        <s v="6-Mar" u="1"/>
        <s v="7-Mar" u="1"/>
        <s v="8-Mar" u="1"/>
        <s v="9-Mar" u="1"/>
        <s v="10-Mar" u="1"/>
        <s v="11-Mar" u="1"/>
        <s v="12-Mar" u="1"/>
        <s v="1-Apr" u="1"/>
        <s v="2-Apr" u="1"/>
        <s v="3-Apr" u="1"/>
        <s v="4-Apr" u="1"/>
        <s v="5-Apr" u="1"/>
        <s v="6-Apr" u="1"/>
        <s v="7-Apr" u="1"/>
        <s v="8-Apr" u="1"/>
        <s v="9-Apr" u="1"/>
        <s v="10-Apr" u="1"/>
        <s v="11-Apr" u="1"/>
        <s v="12-Apr" u="1"/>
        <s v="1-Jun" u="1"/>
        <s v="2-Jun" u="1"/>
        <s v="3-Jun" u="1"/>
        <s v="4-Jun" u="1"/>
        <s v="5-Jun" u="1"/>
        <s v="6-Jun" u="1"/>
        <s v="7-Jun" u="1"/>
        <s v="8-Jun" u="1"/>
        <s v="9-Jun" u="1"/>
        <s v="10-Jun" u="1"/>
        <s v="11-Jun" u="1"/>
        <s v="12-Jun" u="1"/>
        <s v="1-Jul" u="1"/>
        <s v="2-Jul" u="1"/>
        <s v="3-Jul" u="1"/>
        <s v="4-Jul" u="1"/>
        <s v="5-Jul" u="1"/>
        <s v="6-Jul" u="1"/>
        <s v="7-Jul" u="1"/>
        <s v="8-Jul" u="1"/>
        <s v="9-Jul" u="1"/>
        <s v="10-Jul" u="1"/>
        <s v="11-Jul" u="1"/>
        <s v="12-Jul" u="1"/>
        <s v="1-Aug" u="1"/>
        <s v="2-Aug" u="1"/>
        <s v="3-Aug" u="1"/>
        <s v="4-Aug" u="1"/>
        <s v="5-Aug" u="1"/>
        <s v="6-Aug" u="1"/>
        <s v="7-Aug" u="1"/>
        <s v="8-Aug" u="1"/>
        <s v="9-Aug" u="1"/>
        <s v="10-Aug" u="1"/>
        <s v="11-Aug" u="1"/>
        <s v="12-Aug" u="1"/>
        <s v="1-Sep" u="1"/>
        <s v="2-Sep" u="1"/>
        <s v="3-Sep" u="1"/>
        <s v="4-Sep" u="1"/>
        <s v="5-Sep" u="1"/>
        <s v="6-Sep" u="1"/>
        <s v="7-Sep" u="1"/>
        <s v="8-Sep" u="1"/>
        <s v="9-Sep" u="1"/>
        <s v="10-Sep" u="1"/>
        <s v="11-Sep" u="1"/>
        <s v="12-Sep"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haredItems>
    </cacheField>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Hospital Emergency Room Data].[Patient Admission Flag].[Patient Admission Flag]" caption="Patient Admission Flag" numFmtId="0" hierarchy="13" level="1">
      <sharedItems count="2">
        <s v="Admitted"/>
        <s v="Not Admitted"/>
      </sharedItems>
    </cacheField>
    <cacheField name="[Calender_Table].[Column1 (Year)].[Column1 (Year)]" caption="Column1 (Year)" numFmtId="0" hierarchy="3" level="1">
      <sharedItems containsSemiMixedTypes="0" containsNonDate="0" containsString="0"/>
    </cacheField>
    <cacheField name="[Measures].[Count of Patient Admission Flag]" caption="Count of Patient Admission Flag" numFmtId="0" hierarchy="32" level="32767"/>
    <cacheField name="Dummy0" numFmtId="0" hierarchy="33" level="32767">
      <extLst>
        <ext xmlns:x14="http://schemas.microsoft.com/office/spreadsheetml/2009/9/main" uri="{63CAB8AC-B538-458d-9737-405883B0398D}">
          <x14:cacheField ignore="1"/>
        </ext>
      </extLst>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5"/>
      </fieldsUsage>
      <extLst>
        <ext xmlns:x15="http://schemas.microsoft.com/office/spreadsheetml/2010/11/main" uri="{B97F6D7D-B522-45F9-BDA1-12C45D357490}">
          <x15:cacheHierarchy aggregatedColumn="13"/>
        </ext>
      </extLst>
    </cacheHierarchy>
    <cacheHierarchy uniqueName="Dummy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115741" backgroundQuery="1" createdVersion="8" refreshedVersion="8" minRefreshableVersion="3" recordCount="0" supportSubquery="1" supportAdvancedDrill="1" xr:uid="{5544D474-DD71-4F0C-8700-DDBCB6307F3C}">
  <cacheSource type="external" connectionId="3"/>
  <cacheFields count="3">
    <cacheField name="[Measures].[Average of Patient Waittime]" caption="Average of Patient Waittime" numFmtId="0" hierarchy="27"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1388887" backgroundQuery="1" createdVersion="8" refreshedVersion="8" minRefreshableVersion="3" recordCount="0" supportSubquery="1" supportAdvancedDrill="1" xr:uid="{D5CF8B89-66CE-44B4-A329-3CD41FE75302}">
  <cacheSource type="external" connectionId="3"/>
  <cacheFields count="3">
    <cacheField name="[Measures].[Average of Patient Satisfaction Score]" caption="Average of Patient Satisfaction Score" numFmtId="0" hierarchy="28"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1504633" backgroundQuery="1" createdVersion="8" refreshedVersion="8" minRefreshableVersion="3" recordCount="0" supportSubquery="1" supportAdvancedDrill="1" xr:uid="{BAB138B4-72C7-4AA6-81BD-5FF3D5FD5CE9}">
  <cacheSource type="external" connectionId="3"/>
  <cacheFields count="3">
    <cacheField name="[Measures].[Count of Patient Id]" caption="Count of Patient Id" numFmtId="0" hierarchy="24"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1967595" backgroundQuery="1" createdVersion="8" refreshedVersion="8" minRefreshableVersion="3" recordCount="0" supportSubquery="1" supportAdvancedDrill="1" xr:uid="{4786B50F-7807-41DF-8734-7E052EE97A03}">
  <cacheSource type="external" connectionId="3"/>
  <cacheFields count="4">
    <cacheField name="[Measures].[Count of Patient Id]" caption="Count of Patient Id" numFmtId="0" hierarchy="24" level="32767"/>
    <cacheField name="[Calender_Table].[Column1 (Day)].[Column1 (Day)]" caption="Column1 (Day)" numFmtId="0" hierarchy="2" level="1">
      <sharedItems count="144">
        <s v="4-Jun"/>
        <s v="5-Jun"/>
        <s v="6-Jun"/>
        <s v="7-Jun"/>
        <s v="8-Jun"/>
        <s v="9-Jun"/>
        <s v="10-Jun"/>
        <s v="11-Jun"/>
        <s v="12-Jun"/>
        <s v="1-Jun" u="1"/>
        <s v="2-Jun" u="1"/>
        <s v="3-Jun" u="1"/>
        <s v="4-Mar" u="1"/>
        <s v="5-Mar" u="1"/>
        <s v="6-Mar" u="1"/>
        <s v="7-Mar" u="1"/>
        <s v="8-Mar" u="1"/>
        <s v="9-Mar" u="1"/>
        <s v="10-Mar" u="1"/>
        <s v="11-Mar" u="1"/>
        <s v="12-Mar" u="1"/>
        <s v="4-Jan" u="1"/>
        <s v="5-Jan" u="1"/>
        <s v="6-Jan" u="1"/>
        <s v="7-Jan" u="1"/>
        <s v="8-Jan" u="1"/>
        <s v="9-Jan" u="1"/>
        <s v="10-Jan" u="1"/>
        <s v="11-Jan" u="1"/>
        <s v="12-Jan" u="1"/>
        <s v="4-Aug" u="1"/>
        <s v="5-Aug" u="1"/>
        <s v="6-Aug" u="1"/>
        <s v="7-Aug" u="1"/>
        <s v="8-Aug" u="1"/>
        <s v="9-Aug" u="1"/>
        <s v="10-Aug" u="1"/>
        <s v="11-Aug" u="1"/>
        <s v="12-Aug" u="1"/>
        <s v="1-May" u="1"/>
        <s v="2-May" u="1"/>
        <s v="3-May" u="1"/>
        <s v="4-May" u="1"/>
        <s v="5-May" u="1"/>
        <s v="6-May" u="1"/>
        <s v="7-May" u="1"/>
        <s v="8-May" u="1"/>
        <s v="9-May" u="1"/>
        <s v="10-May" u="1"/>
        <s v="11-May" u="1"/>
        <s v="12-May" u="1"/>
        <s v="1-Mar" u="1"/>
        <s v="2-Mar" u="1"/>
        <s v="3-Mar" u="1"/>
        <s v="1-Jan" u="1"/>
        <s v="2-Jan" u="1"/>
        <s v="3-Jan" u="1"/>
        <s v="1-Apr" u="1"/>
        <s v="2-Apr" u="1"/>
        <s v="3-Apr" u="1"/>
        <s v="4-Apr" u="1"/>
        <s v="5-Apr" u="1"/>
        <s v="6-Apr" u="1"/>
        <s v="7-Apr" u="1"/>
        <s v="8-Apr" u="1"/>
        <s v="9-Apr" u="1"/>
        <s v="10-Apr" u="1"/>
        <s v="11-Apr" u="1"/>
        <s v="12-Apr"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 v="1-Aug" u="1"/>
        <s v="2-Aug" u="1"/>
        <s v="3-Aug" u="1"/>
        <s v="1-Feb" u="1"/>
        <s v="2-Feb" u="1"/>
        <s v="3-Feb" u="1"/>
        <s v="4-Feb" u="1"/>
        <s v="5-Feb" u="1"/>
        <s v="6-Feb" u="1"/>
        <s v="7-Feb" u="1"/>
        <s v="8-Feb" u="1"/>
        <s v="9-Feb" u="1"/>
        <s v="10-Feb" u="1"/>
        <s v="11-Feb" u="1"/>
        <s v="12-Feb" u="1"/>
        <s v="1-Jul" u="1"/>
        <s v="2-Jul" u="1"/>
        <s v="3-Jul" u="1"/>
        <s v="4-Jul" u="1"/>
        <s v="5-Jul" u="1"/>
        <s v="6-Jul" u="1"/>
        <s v="7-Jul" u="1"/>
        <s v="8-Jul" u="1"/>
        <s v="9-Jul" u="1"/>
        <s v="10-Jul" u="1"/>
        <s v="11-Jul" u="1"/>
        <s v="12-Jul" u="1"/>
        <s v="1-Sep" u="1"/>
        <s v="2-Sep" u="1"/>
        <s v="3-Sep" u="1"/>
        <s v="4-Sep" u="1"/>
        <s v="5-Sep" u="1"/>
        <s v="6-Sep" u="1"/>
        <s v="7-Sep" u="1"/>
        <s v="8-Sep" u="1"/>
        <s v="9-Sep" u="1"/>
        <s v="10-Sep" u="1"/>
        <s v="11-Sep" u="1"/>
        <s v="12-Sep" u="1"/>
      </sharedItems>
    </cacheField>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3009258" backgroundQuery="1" createdVersion="8" refreshedVersion="8" minRefreshableVersion="3" recordCount="0" supportSubquery="1" supportAdvancedDrill="1" xr:uid="{C7870007-96F9-420D-88F2-428DAB0F466C}">
  <cacheSource type="external" connectionId="3"/>
  <cacheFields count="4">
    <cacheField name="[Calender_Table].[Column1 (Day)].[Column1 (Day)]" caption="Column1 (Day)" numFmtId="0" hierarchy="2" level="1">
      <sharedItems count="163">
        <s v="4-Jun"/>
        <s v="5-Jun"/>
        <s v="6-Jun"/>
        <s v="7-Jun"/>
        <s v="8-Jun"/>
        <s v="9-Jun"/>
        <s v="10-Jun"/>
        <s v="11-Jun"/>
        <s v="12-Jun"/>
        <s v="1-Jun" u="1"/>
        <s v="2-Jun" u="1"/>
        <s v="3-Jun" u="1"/>
        <s v="4-Mar" u="1"/>
        <s v="5-Mar" u="1"/>
        <s v="6-Mar" u="1"/>
        <s v="7-Mar" u="1"/>
        <s v="8-Mar" u="1"/>
        <s v="9-Mar" u="1"/>
        <s v="10-Mar" u="1"/>
        <s v="11-Mar" u="1"/>
        <s v="12-Mar" u="1"/>
        <s v="4-Jan" u="1"/>
        <s v="5-Jan" u="1"/>
        <s v="6-Jan" u="1"/>
        <s v="7-Jan" u="1"/>
        <s v="8-Jan" u="1"/>
        <s v="9-Jan" u="1"/>
        <s v="10-Jan" u="1"/>
        <s v="11-Jan" u="1"/>
        <s v="12-Jan" u="1"/>
        <s v="4-Aug" u="1"/>
        <s v="5-Aug" u="1"/>
        <s v="6-Aug" u="1"/>
        <s v="7-Aug" u="1"/>
        <s v="8-Aug" u="1"/>
        <s v="9-Aug" u="1"/>
        <s v="10-Aug" u="1"/>
        <s v="11-Aug" u="1"/>
        <s v="12-Aug" u="1"/>
        <s v="1-May" u="1"/>
        <s v="2-May" u="1"/>
        <s v="3-May" u="1"/>
        <s v="4-May" u="1"/>
        <s v="5-May" u="1"/>
        <s v="6-May" u="1"/>
        <s v="7-May" u="1"/>
        <s v="8-May" u="1"/>
        <s v="9-May" u="1"/>
        <s v="10-May" u="1"/>
        <s v="11-May" u="1"/>
        <s v="12-May" u="1"/>
        <s v="1-Mar" u="1"/>
        <s v="2-Mar" u="1"/>
        <s v="3-Mar" u="1"/>
        <s v="1-Jan" u="1"/>
        <s v="2-Jan" u="1"/>
        <s v="3-Jan" u="1"/>
        <s v="1-Apr" u="1"/>
        <s v="2-Apr" u="1"/>
        <s v="3-Apr" u="1"/>
        <s v="4-Apr" u="1"/>
        <s v="5-Apr" u="1"/>
        <s v="6-Apr" u="1"/>
        <s v="7-Apr" u="1"/>
        <s v="8-Apr" u="1"/>
        <s v="9-Apr" u="1"/>
        <s v="10-Apr" u="1"/>
        <s v="11-Apr" u="1"/>
        <s v="12-Apr" u="1"/>
        <s v="1-Oct" u="1"/>
        <s v="2-Oct" u="1"/>
        <s v="3-Oct" u="1"/>
        <s v="4-Oct" u="1"/>
        <s v="5-Oct" u="1"/>
        <s v="6-Oct" u="1"/>
        <s v="7-Oct" u="1"/>
        <s v="8-Oct" u="1"/>
        <s v="9-Oct" u="1"/>
        <s v="10-Oct" u="1"/>
        <s v="11-Oct" u="1"/>
        <s v="12-Oct" u="1"/>
        <s v="1-Nov" u="1"/>
        <s v="2-Nov" u="1"/>
        <s v="3-Nov" u="1"/>
        <s v="4-Nov" u="1"/>
        <s v="5-Nov" u="1"/>
        <s v="6-Nov" u="1"/>
        <s v="7-Nov" u="1"/>
        <s v="8-Nov" u="1"/>
        <s v="9-Nov" u="1"/>
        <s v="10-Nov" u="1"/>
        <s v="11-Nov" u="1"/>
        <s v="12-Nov" u="1"/>
        <s v="1-Dec" u="1"/>
        <s v="2-Dec" u="1"/>
        <s v="3-Dec" u="1"/>
        <s v="4-Dec" u="1"/>
        <s v="5-Dec" u="1"/>
        <s v="6-Dec" u="1"/>
        <s v="7-Dec" u="1"/>
        <s v="8-Dec" u="1"/>
        <s v="9-Dec" u="1"/>
        <s v="10-Dec" u="1"/>
        <s v="11-Dec" u="1"/>
        <s v="12-Dec" u="1"/>
        <s v="1-Aug" u="1"/>
        <s v="2-Aug" u="1"/>
        <s v="3-Aug" u="1"/>
        <s v="1-Feb" u="1"/>
        <s v="2-Feb" u="1"/>
        <s v="3-Feb" u="1"/>
        <s v="4-Feb" u="1"/>
        <s v="5-Feb" u="1"/>
        <s v="6-Feb" u="1"/>
        <s v="7-Feb" u="1"/>
        <s v="8-Feb" u="1"/>
        <s v="9-Feb" u="1"/>
        <s v="10-Feb" u="1"/>
        <s v="11-Feb" u="1"/>
        <s v="12-Feb" u="1"/>
        <s v="13-Jan" u="1"/>
        <s v="14-Jan" u="1"/>
        <s v="15-Jan" u="1"/>
        <s v="16-Jan" u="1"/>
        <s v="17-Jan" u="1"/>
        <s v="18-Jan" u="1"/>
        <s v="19-Jan" u="1"/>
        <s v="20-Jan" u="1"/>
        <s v="21-Jan" u="1"/>
        <s v="22-Jan" u="1"/>
        <s v="23-Jan" u="1"/>
        <s v="24-Jan" u="1"/>
        <s v="25-Jan" u="1"/>
        <s v="26-Jan" u="1"/>
        <s v="27-Jan" u="1"/>
        <s v="28-Jan" u="1"/>
        <s v="29-Jan" u="1"/>
        <s v="30-Jan" u="1"/>
        <s v="31-Jan" u="1"/>
        <s v="1-Jul" u="1"/>
        <s v="2-Jul" u="1"/>
        <s v="3-Jul" u="1"/>
        <s v="4-Jul" u="1"/>
        <s v="5-Jul" u="1"/>
        <s v="6-Jul" u="1"/>
        <s v="7-Jul" u="1"/>
        <s v="8-Jul" u="1"/>
        <s v="9-Jul" u="1"/>
        <s v="10-Jul" u="1"/>
        <s v="11-Jul" u="1"/>
        <s v="12-Jul" u="1"/>
        <s v="1-Sep" u="1"/>
        <s v="2-Sep" u="1"/>
        <s v="3-Sep" u="1"/>
        <s v="4-Sep" u="1"/>
        <s v="5-Sep" u="1"/>
        <s v="6-Sep" u="1"/>
        <s v="7-Sep" u="1"/>
        <s v="8-Sep" u="1"/>
        <s v="9-Sep" u="1"/>
        <s v="10-Sep" u="1"/>
        <s v="11-Sep" u="1"/>
        <s v="12-Sep" u="1"/>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7" level="32767"/>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784503125004" backgroundQuery="1" createdVersion="5" refreshedVersion="8" minRefreshableVersion="3" recordCount="0" supportSubquery="1" supportAdvancedDrill="1" xr:uid="{A3A44D9F-107B-436A-85D1-EA601F39613F}">
  <cacheSource type="external" connectionId="3"/>
  <cacheFields count="2">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3">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1"/>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530625347223" backgroundQuery="1" createdVersion="3" refreshedVersion="8" minRefreshableVersion="3" recordCount="0" supportSubquery="1" supportAdvancedDrill="1" xr:uid="{369D4312-59AF-401F-95C4-F43B2B43E664}">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568564564"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16.531887037039" backgroundQuery="1" createdVersion="3" refreshedVersion="8" minRefreshableVersion="3" recordCount="0" supportSubquery="1" supportAdvancedDrill="1" xr:uid="{C7E22F9C-7A4C-4A0F-8EC8-9D9442545AEA}">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0"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007094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CBCCF-0616-46A4-B83A-C26C335F63BC}" name="PivotTable7" cacheId="14" applyNumberFormats="0" applyBorderFormats="0" applyFontFormats="0" applyPatternFormats="0" applyAlignmentFormats="0" applyWidthHeightFormats="1" dataCaption="Values" tag="9cb1cb3d-7df1-4597-bfa0-e6e5cf9bc8c8" updatedVersion="8" minRefreshableVersion="3" useAutoFormatting="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33">
    <pivotHierarchy dragToData="1"/>
    <pivotHierarchy multipleItemSelectionAllowed="1" dragToData="1">
      <members count="1" level="1">
        <member name="[Calender_Table].[Column1 (Month)].&amp;[May]"/>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125B7-14D1-433D-AFF7-21A3B7BD7D36}" name="PivotTable4" cacheId="11" applyNumberFormats="0" applyBorderFormats="0" applyFontFormats="0" applyPatternFormats="0" applyAlignmentFormats="0" applyWidthHeightFormats="1" dataCaption="Values" tag="f2d9c578-7a0c-41db-b725-4545581d9132" updatedVersion="8" minRefreshableVersion="3" useAutoFormatting="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ch" fld="0" subtotal="count" baseField="0" baseItem="0"/>
  </dataFields>
  <pivotHierarchies count="33">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ch"/>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B1A92-D7BC-4B2E-AA85-69963BA927AC}" name="Gender" cacheId="3" applyNumberFormats="0" applyBorderFormats="0" applyFontFormats="0" applyPatternFormats="0" applyAlignmentFormats="0" applyWidthHeightFormats="1" dataCaption="Values" tag="07e6c31d-168e-4ef5-9a18-a87694d5720c" updatedVersion="8" minRefreshableVersion="3" useAutoFormatting="1" itemPrintTitles="1" createdVersion="8" indent="0" outline="1" outlineData="1" multipleFieldFilters="0" chartFormat="80">
  <location ref="J21:K24" firstHeaderRow="1" firstDataRow="1" firstDataCol="1"/>
  <pivotFields count="5">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s>
  <rowFields count="1">
    <field x="2"/>
  </rowFields>
  <rowItems count="3">
    <i>
      <x/>
    </i>
    <i>
      <x v="1"/>
    </i>
    <i t="grand">
      <x/>
    </i>
  </rowItems>
  <colItems count="1">
    <i/>
  </colItems>
  <dataFields count="1">
    <dataField name="Count of Patient Gender" fld="4" subtotal="count" baseField="0" baseItem="0"/>
  </dataFields>
  <chartFormats count="3">
    <chartFormat chart="77" format="8" series="1">
      <pivotArea type="data" outline="0" fieldPosition="0">
        <references count="1">
          <reference field="4294967294" count="1" selected="0">
            <x v="0"/>
          </reference>
        </references>
      </pivotArea>
    </chartFormat>
    <chartFormat chart="77" format="9">
      <pivotArea type="data" outline="0" fieldPosition="0">
        <references count="2">
          <reference field="4294967294" count="1" selected="0">
            <x v="0"/>
          </reference>
          <reference field="2" count="1" selected="0">
            <x v="0"/>
          </reference>
        </references>
      </pivotArea>
    </chartFormat>
    <chartFormat chart="77" format="10">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300A1C-4018-4EF3-A3ED-62FE24AEFD91}" name="PivotTable17" cacheId="0" applyNumberFormats="0" applyBorderFormats="0" applyFontFormats="0" applyPatternFormats="0" applyAlignmentFormats="0" applyWidthHeightFormats="1" dataCaption="Values" tag="3dc31b68-0f79-4c99-a13f-9a8965b827a0" updatedVersion="8" minRefreshableVersion="3" useAutoFormatting="1" itemPrintTitles="1" createdVersion="8" indent="0" outline="1" outlineData="1" multipleFieldFilters="0" chartFormat="72">
  <location ref="P36:R38" firstHeaderRow="1" firstDataRow="2" firstDataCol="1"/>
  <pivotFields count="5">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allDrilled="1" subtotalTop="0" showAll="0" sortType="descending" defaultSubtotal="0" defaultAttributeDrillState="1">
      <items count="8">
        <item x="7"/>
        <item x="6"/>
        <item x="5"/>
        <item x="4"/>
        <item x="3"/>
        <item x="2"/>
        <item x="1"/>
        <item x="0"/>
      </items>
    </pivotField>
    <pivotField dataField="1" subtotalTop="0" showAll="0" defaultSubtotal="0"/>
    <pivotField axis="axisCol" allDrilled="1" subtotalTop="0" showAll="0" dataSourceSort="1" defaultSubtotal="0">
      <items count="1">
        <item s="1" x="0" e="0"/>
      </items>
    </pivotField>
  </pivotFields>
  <rowItems count="1">
    <i/>
  </rowItems>
  <colFields count="1">
    <field x="4"/>
  </colFields>
  <colItems count="2">
    <i>
      <x/>
    </i>
    <i t="grand">
      <x/>
    </i>
  </colItems>
  <dataFields count="1">
    <dataField name="Patients" fld="3" subtotal="count" baseField="0" baseItem="0"/>
  </dataFields>
  <chartFormats count="1">
    <chartFormat chart="6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Patients"/>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002A01-7AA2-4E96-8959-CFFBD2132C2F}" name="PivotTable16" cacheId="8" applyNumberFormats="0" applyBorderFormats="0" applyFontFormats="0" applyPatternFormats="0" applyAlignmentFormats="0" applyWidthHeightFormats="1" dataCaption="Values" tag="29b0093d-9e13-46a1-90cf-38f48478d812" updatedVersion="8" minRefreshableVersion="3" useAutoFormatting="1" subtotalHiddenItems="1" itemPrintTitles="1" createdVersion="8" indent="0" outline="1" outlineData="1" multipleFieldFilters="0" chartFormat="79">
  <location ref="B41:D44" firstHeaderRow="0" firstDataRow="1" firstDataCol="1"/>
  <pivotFields count="7">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5" subtotal="count" baseField="0" baseItem="0"/>
    <dataField name="Count of Patient Admission Flag2" fld="6" subtotal="count" showDataAs="percentOfTotal" baseField="0" baseItem="0" numFmtId="10">
      <extLst>
        <ext xmlns:x14="http://schemas.microsoft.com/office/spreadsheetml/2009/9/main" uri="{E15A36E0-9728-4e99-A89B-3F7291B0FE68}">
          <x14:dataField sourceField="5" uniqueName="[__Xl2].[Measures].[Count of Patient Admission Flag]"/>
        </ext>
      </extLst>
    </dataField>
  </dataFields>
  <chartFormats count="4">
    <chartFormat chart="72" format="0" series="1">
      <pivotArea type="data" outline="0" fieldPosition="0">
        <references count="1">
          <reference field="4294967294" count="1" selected="0">
            <x v="0"/>
          </reference>
        </references>
      </pivotArea>
    </chartFormat>
    <chartFormat chart="72" format="1" series="1">
      <pivotArea type="data" outline="0" fieldPosition="0">
        <references count="1">
          <reference field="4294967294" count="1" selected="0">
            <x v="1"/>
          </reference>
        </references>
      </pivotArea>
    </chartFormat>
    <chartFormat chart="75" format="0" series="1">
      <pivotArea type="data" outline="0" fieldPosition="0">
        <references count="1">
          <reference field="4294967294" count="1" selected="0">
            <x v="0"/>
          </reference>
        </references>
      </pivotArea>
    </chartFormat>
    <chartFormat chart="75"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Patients"/>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3A1F9A-79B7-4965-91C5-245DD9FEC381}" name="PivotTable3" cacheId="10" applyNumberFormats="0" applyBorderFormats="0" applyFontFormats="0" applyPatternFormats="0" applyAlignmentFormats="0" applyWidthHeightFormats="1" dataCaption="Values" tag="661db670-6d63-49a5-87d7-4c814bc25b08" updatedVersion="8" minRefreshableVersion="3" useAutoFormatting="1" itemPrintTitles="1" createdVersion="8" indent="0" outline="1" outlineData="1" multipleFieldFilters="0">
  <location ref="F5:F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0">
      <pivotArea outline="0" collapsedLevelsAreSubtotals="1" fieldPosition="0"/>
    </format>
  </formats>
  <pivotHierarchies count="33">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0371F0-96B5-4DAC-B837-23883F3DE8DA}" name="Department refer" cacheId="2" applyNumberFormats="0" applyBorderFormats="0" applyFontFormats="0" applyPatternFormats="0" applyAlignmentFormats="0" applyWidthHeightFormats="1" dataCaption="Values" tag="bf989fae-d131-4f97-8ecb-f03996dba8d5" updatedVersion="8" minRefreshableVersion="3" useAutoFormatting="1" itemPrintTitles="1" createdVersion="8" indent="0" outline="1" outlineData="1" multipleFieldFilters="0" chartFormat="72">
  <location ref="E30:F39" firstHeaderRow="1" firstDataRow="1" firstDataCol="1"/>
  <pivotFields count="5">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axis="axisRow" allDrilled="1" subtotalTop="0" showAll="0" sortType="descending" defaultSubtotal="0" defaultAttributeDrillState="1">
      <items count="8">
        <item x="7"/>
        <item x="6"/>
        <item x="5"/>
        <item x="4"/>
        <item x="3"/>
        <item x="2"/>
        <item x="1"/>
        <item x="0"/>
      </items>
    </pivotField>
    <pivotField allDrilled="1" subtotalTop="0" showAll="0" dataSourceSort="1" defaultSubtotal="0" defaultAttributeDrillState="1"/>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Department Referral" fld="4" subtotal="count" baseField="0" baseItem="0"/>
  </dataFields>
  <chartFormats count="1">
    <chartFormat chart="68"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33D0AD-C7C4-465A-B1B1-172586B05A8E}" name="PivotTable15" cacheId="7" applyNumberFormats="0" applyBorderFormats="0" applyFontFormats="0" applyPatternFormats="0" applyAlignmentFormats="0" applyWidthHeightFormats="1" dataCaption="Values" tag="b078910e-f39f-4dd3-9084-9f94a3786bf0" updatedVersion="8" minRefreshableVersion="3" useAutoFormatting="1" itemPrintTitles="1" createdVersion="8" indent="0" outline="1" outlineData="1" multipleFieldFilters="0" chartFormat="72">
  <location ref="J36:K39" firstHeaderRow="1" firstDataRow="1" firstDataCol="1"/>
  <pivotFields count="6">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allDrilled="1" subtotalTop="0" showAll="0" sortType="descending" defaultSubtotal="0" defaultAttributeDrillState="1">
      <items count="8">
        <item x="7"/>
        <item x="6"/>
        <item x="5"/>
        <item x="4"/>
        <item x="3"/>
        <item x="2"/>
        <item x="1"/>
        <item x="0"/>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3">
    <i>
      <x/>
    </i>
    <i>
      <x v="1"/>
    </i>
    <i t="grand">
      <x/>
    </i>
  </rowItems>
  <colItems count="1">
    <i/>
  </colItems>
  <dataFields count="1">
    <dataField name="Patients" fld="3" subtotal="count" baseField="4" baseItem="0"/>
  </dataFields>
  <chartFormats count="1">
    <chartFormat chart="6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Patients"/>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D0428D-DA04-4EB7-9433-B87000B9344A}" name="PivotTable2" cacheId="9" applyNumberFormats="0" applyBorderFormats="0" applyFontFormats="0" applyPatternFormats="0" applyAlignmentFormats="0" applyWidthHeightFormats="1" dataCaption="Values" tag="9dc074a1-727d-4ae9-85b3-a3f22c103e06" updatedVersion="8" minRefreshableVersion="3" useAutoFormatting="1" itemPrintTitles="1" createdVersion="8" indent="0" outline="1" outlineData="1" multipleFieldFilters="0">
  <location ref="D5:D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3">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9EFE5E-9565-4BD2-99D3-058C0323CE47}" name="PivotTable10" cacheId="5" applyNumberFormats="0" applyBorderFormats="0" applyFontFormats="0" applyPatternFormats="0" applyAlignmentFormats="0" applyWidthHeightFormats="1" dataCaption="Values" tag="e066f720-c256-416e-b5b8-6782a1d32bfa" updatedVersion="8" minRefreshableVersion="3" useAutoFormatting="1" itemPrintTitles="1" createdVersion="8" indent="0" outline="1" outlineData="1" multipleFieldFilters="0" chartFormat="64">
  <location ref="E11:F21" firstHeaderRow="1" firstDataRow="1" firstDataCol="1"/>
  <pivotFields count="4">
    <pivotField axis="axisRow"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1">
    <format dxfId="2">
      <pivotArea collapsedLevelsAreSubtotals="1" fieldPosition="0">
        <references count="1">
          <reference field="0" count="12">
            <x v="21"/>
            <x v="22"/>
            <x v="23"/>
            <x v="24"/>
            <x v="25"/>
            <x v="26"/>
            <x v="27"/>
            <x v="28"/>
            <x v="29"/>
            <x v="54"/>
            <x v="55"/>
            <x v="56"/>
          </reference>
        </references>
      </pivotArea>
    </format>
  </formats>
  <chartFormats count="2">
    <chartFormat chart="58" format="2"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F8404D-94D0-4BD6-884D-91303F807371}" name="PivotTable1" cacheId="4" applyNumberFormats="0" applyBorderFormats="0" applyFontFormats="0" applyPatternFormats="0" applyAlignmentFormats="0" applyWidthHeightFormats="1" dataCaption="Values" tag="57cf89f6-8df3-4946-a8ab-6fc0432fd643" updatedVersion="8" minRefreshableVersion="3" useAutoFormatting="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3">
    <pivotHierarchy dragToData="1"/>
    <pivotHierarchy multipleItemSelectionAllowed="1" dragToData="1">
      <members count="1" level="1">
        <member name="[Calender_Table].[Column1 (Month)].&amp;[Jun]"/>
      </members>
    </pivotHierarchy>
    <pivotHierarchy dragToData="1"/>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F860C3-E6A2-461B-A85D-EA9F9FC189B4}" name="PivotTable9" cacheId="13" applyNumberFormats="0" applyBorderFormats="0" applyFontFormats="0" applyPatternFormats="0" applyAlignmentFormats="0" applyWidthHeightFormats="1" dataCaption="Values" tag="ceef2936-8c26-45c1-8317-db06bd827dce" updatedVersion="8" minRefreshableVersion="3" useAutoFormatting="1" itemPrintTitles="1" createdVersion="8" indent="0" outline="1" outlineData="1" multipleFieldFilters="0" chartFormat="54">
  <location ref="P5:Q15" firstHeaderRow="1" firstDataRow="1" firstDataCol="1"/>
  <pivotFields count="4">
    <pivotField axis="axisRow"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dataFields>
  <formats count="1">
    <format dxfId="3">
      <pivotArea collapsedLevelsAreSubtotals="1" fieldPosition="0">
        <references count="1">
          <reference field="0" count="12">
            <x v="21"/>
            <x v="22"/>
            <x v="23"/>
            <x v="24"/>
            <x v="25"/>
            <x v="26"/>
            <x v="27"/>
            <x v="28"/>
            <x v="29"/>
            <x v="54"/>
            <x v="55"/>
            <x v="56"/>
          </reference>
        </references>
      </pivotArea>
    </format>
  </formats>
  <chartFormats count="2">
    <chartFormat chart="45"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381108-4828-4552-93DF-EA80951AD75A}" name="Age group" cacheId="1" applyNumberFormats="0" applyBorderFormats="0" applyFontFormats="0" applyPatternFormats="0" applyAlignmentFormats="0" applyWidthHeightFormats="1" dataCaption="Values" tag="7bd448b9-a6ee-4d2e-bd70-66b55cf37964" updatedVersion="8" minRefreshableVersion="3" useAutoFormatting="1" itemPrintTitles="1" createdVersion="8" indent="0" outline="1" outlineData="1" multipleFieldFilters="0" chartFormat="80">
  <location ref="P23:Q31" firstHeaderRow="1" firstDataRow="1" firstDataCol="1"/>
  <pivotFields count="5">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dataField="1" subtotalTop="0" showAll="0" defaultSubtotal="0"/>
  </pivotFields>
  <rowFields count="1">
    <field x="2"/>
  </rowFields>
  <rowItems count="8">
    <i>
      <x/>
    </i>
    <i>
      <x v="1"/>
    </i>
    <i>
      <x v="2"/>
    </i>
    <i>
      <x v="3"/>
    </i>
    <i>
      <x v="4"/>
    </i>
    <i>
      <x v="5"/>
    </i>
    <i>
      <x v="6"/>
    </i>
    <i t="grand">
      <x/>
    </i>
  </rowItems>
  <colItems count="1">
    <i/>
  </colItems>
  <dataFields count="1">
    <dataField name="Count of Age Group" fld="4" subtotal="count" baseField="0" baseItem="0"/>
  </dataFields>
  <chartFormats count="1">
    <chartFormat chart="79"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16857F-4BB0-4499-82D8-D96803E97CBD}" name="PivotTable8" cacheId="12" applyNumberFormats="0" applyBorderFormats="0" applyFontFormats="0" applyPatternFormats="0" applyAlignmentFormats="0" applyWidthHeightFormats="1" dataCaption="Values" tag="55e0ef33-b9cc-48af-b81b-595ded181aac" updatedVersion="8" minRefreshableVersion="3" useAutoFormatting="1" itemPrintTitles="1" createdVersion="8" indent="0" outline="1" outlineData="1" multipleFieldFilters="0" chartFormat="42">
  <location ref="J5:K15" firstHeaderRow="1" firstDataRow="1" firstDataCol="1"/>
  <pivotFields count="4">
    <pivotField dataField="1" subtotalTop="0" showAll="0" defaultSubtotal="0"/>
    <pivotField axis="axisRow" allDrilled="1" subtotalTop="0" showAll="0" dataSourceSort="1" defaultSubtotal="0" defaultAttributeDrillState="1">
      <items count="14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Patient Id" fld="0" subtotal="count" baseField="0" baseItem="0"/>
  </dataFields>
  <chartFormats count="2">
    <chartFormat chart="36"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Calender_Table].[Column1 (Day)].&amp;[13-Jan]"/>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Calender_Table].[Column1 (Day)].&amp;[14-Jan]"/>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Calender_Table].[Column1 (Day)].&amp;[15-Jan]"/>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Calender_Table].[Column1 (Day)].&amp;[16-Jan]"/>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Calender_Table].[Column1 (Day)].&amp;[17-Jan]"/>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Calender_Table].[Column1 (Day)].&amp;[18-Jan]"/>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Calender_Table].[Column1 (Day)].&amp;[19-Jan]"/>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Calender_Table].[Column1 (Day)].&amp;[20-Jan]"/>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Calender_Table].[Column1 (Day)].&amp;[21-Jan]"/>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Calender_Table].[Column1 (Day)].&amp;[22-Jan]"/>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Calender_Table].[Column1 (Day)].&amp;[23-Jan]"/>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Calender_Table].[Column1 (Day)].&amp;[24-Jan]"/>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Calender_Table].[Column1 (Day)].&amp;[25-Jan]"/>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Calender_Table].[Column1 (Day)].&amp;[26-Jan]"/>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Calender_Table].[Column1 (Day)].&amp;[27-Jan]"/>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Calender_Table].[Column1 (Day)].&amp;[28-Jan]"/>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Calender_Table].[Column1 (Day)].&amp;[29-Jan]"/>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Calender_Table].[Column1 (Day)].&amp;[30-Jan]"/>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Calender_Table].[Column1 (Day)].&amp;[31-Jan]"/>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014038-05D8-48FD-B259-ED1161B8835B}" name="PivotTable13" cacheId="6" applyNumberFormats="0" applyBorderFormats="0" applyFontFormats="0" applyPatternFormats="0" applyAlignmentFormats="0" applyWidthHeightFormats="1" dataCaption="Values" tag="01ee6935-67d8-456e-8161-552342b871cc" updatedVersion="8" minRefreshableVersion="3" useAutoFormatting="1" itemPrintTitles="1" createdVersion="8" indent="0" outline="1" outlineData="1" multipleFieldFilters="0" chartFormat="79">
  <location ref="J27:K30" firstHeaderRow="1" firstDataRow="1" firstDataCol="1"/>
  <pivotFields count="5">
    <pivotField allDrilled="1" subtotalTop="0" showAll="0" dataSourceSort="1" defaultSubtotal="0" defaultAttributeDrillState="1">
      <items count="16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Id" fld="2" subtotal="count" baseField="0" baseItem="0"/>
  </dataFields>
  <chartFormats count="5">
    <chartFormat chart="64"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78" format="4" series="1">
      <pivotArea type="data" outline="0" fieldPosition="0">
        <references count="1">
          <reference field="4294967294" count="1" selected="0">
            <x v="0"/>
          </reference>
        </references>
      </pivotArea>
    </chartFormat>
    <chartFormat chart="78" format="5">
      <pivotArea type="data" outline="0" fieldPosition="0">
        <references count="2">
          <reference field="4294967294" count="1" selected="0">
            <x v="0"/>
          </reference>
          <reference field="3" count="1" selected="0">
            <x v="0"/>
          </reference>
        </references>
      </pivotArea>
    </chartFormat>
    <chartFormat chart="78" format="6">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members count="1" level="1">
        <member name="[Calender_Table].[Column1 (Month)].&amp;[Jun]"/>
      </members>
    </pivotHierarchy>
    <pivotHierarchy dragToData="1">
      <members count="366"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Column1 (Day)].&amp;[13-Apr]"/>
        <member name="[Calender_Table].[Column1 (Day)].&amp;[13-Aug]"/>
        <member name="[Calender_Table].[Column1 (Day)].&amp;[13-Dec]"/>
        <member name="[Calender_Table].[Column1 (Day)].&amp;[13-Feb]"/>
        <member name=""/>
        <member name="[Calender_Table].[Column1 (Day)].&amp;[13-Jul]"/>
        <member name="[Calender_Table].[Column1 (Day)].&amp;[13-Jun]"/>
        <member name="[Calender_Table].[Column1 (Day)].&amp;[13-Mar]"/>
        <member name="[Calender_Table].[Column1 (Day)].&amp;[13-May]"/>
        <member name="[Calender_Table].[Column1 (Day)].&amp;[13-Nov]"/>
        <member name="[Calender_Table].[Column1 (Day)].&amp;[13-Oct]"/>
        <member name="[Calender_Table].[Column1 (Day)].&amp;[13-Sep]"/>
        <member name="[Calender_Table].[Column1 (Day)].&amp;[14-Apr]"/>
        <member name="[Calender_Table].[Column1 (Day)].&amp;[14-Aug]"/>
        <member name="[Calender_Table].[Column1 (Day)].&amp;[14-Dec]"/>
        <member name="[Calender_Table].[Column1 (Day)].&amp;[14-Feb]"/>
        <member name=""/>
        <member name="[Calender_Table].[Column1 (Day)].&amp;[14-Jul]"/>
        <member name="[Calender_Table].[Column1 (Day)].&amp;[14-Jun]"/>
        <member name="[Calender_Table].[Column1 (Day)].&amp;[14-Mar]"/>
        <member name="[Calender_Table].[Column1 (Day)].&amp;[14-May]"/>
        <member name="[Calender_Table].[Column1 (Day)].&amp;[14-Nov]"/>
        <member name="[Calender_Table].[Column1 (Day)].&amp;[14-Oct]"/>
        <member name="[Calender_Table].[Column1 (Day)].&amp;[14-Sep]"/>
        <member name="[Calender_Table].[Column1 (Day)].&amp;[15-Apr]"/>
        <member name="[Calender_Table].[Column1 (Day)].&amp;[15-Aug]"/>
        <member name="[Calender_Table].[Column1 (Day)].&amp;[15-Dec]"/>
        <member name="[Calender_Table].[Column1 (Day)].&amp;[15-Feb]"/>
        <member name=""/>
        <member name="[Calender_Table].[Column1 (Day)].&amp;[15-Jul]"/>
        <member name="[Calender_Table].[Column1 (Day)].&amp;[15-Jun]"/>
        <member name="[Calender_Table].[Column1 (Day)].&amp;[15-Mar]"/>
        <member name="[Calender_Table].[Column1 (Day)].&amp;[15-May]"/>
        <member name="[Calender_Table].[Column1 (Day)].&amp;[15-Nov]"/>
        <member name="[Calender_Table].[Column1 (Day)].&amp;[15-Oct]"/>
        <member name="[Calender_Table].[Column1 (Day)].&amp;[15-Sep]"/>
        <member name="[Calender_Table].[Column1 (Day)].&amp;[16-Apr]"/>
        <member name="[Calender_Table].[Column1 (Day)].&amp;[16-Aug]"/>
        <member name="[Calender_Table].[Column1 (Day)].&amp;[16-Dec]"/>
        <member name="[Calender_Table].[Column1 (Day)].&amp;[16-Feb]"/>
        <member name=""/>
        <member name="[Calender_Table].[Column1 (Day)].&amp;[16-Jul]"/>
        <member name="[Calender_Table].[Column1 (Day)].&amp;[16-Jun]"/>
        <member name="[Calender_Table].[Column1 (Day)].&amp;[16-Mar]"/>
        <member name="[Calender_Table].[Column1 (Day)].&amp;[16-May]"/>
        <member name="[Calender_Table].[Column1 (Day)].&amp;[16-Nov]"/>
        <member name="[Calender_Table].[Column1 (Day)].&amp;[16-Oct]"/>
        <member name="[Calender_Table].[Column1 (Day)].&amp;[16-Sep]"/>
        <member name="[Calender_Table].[Column1 (Day)].&amp;[17-Apr]"/>
        <member name="[Calender_Table].[Column1 (Day)].&amp;[17-Aug]"/>
        <member name="[Calender_Table].[Column1 (Day)].&amp;[17-Dec]"/>
        <member name="[Calender_Table].[Column1 (Day)].&amp;[17-Feb]"/>
        <member name=""/>
        <member name="[Calender_Table].[Column1 (Day)].&amp;[17-Jul]"/>
        <member name="[Calender_Table].[Column1 (Day)].&amp;[17-Jun]"/>
        <member name="[Calender_Table].[Column1 (Day)].&amp;[17-Mar]"/>
        <member name="[Calender_Table].[Column1 (Day)].&amp;[17-May]"/>
        <member name="[Calender_Table].[Column1 (Day)].&amp;[17-Nov]"/>
        <member name="[Calender_Table].[Column1 (Day)].&amp;[17-Oct]"/>
        <member name="[Calender_Table].[Column1 (Day)].&amp;[17-Sep]"/>
        <member name="[Calender_Table].[Column1 (Day)].&amp;[18-Apr]"/>
        <member name="[Calender_Table].[Column1 (Day)].&amp;[18-Aug]"/>
        <member name="[Calender_Table].[Column1 (Day)].&amp;[18-Dec]"/>
        <member name="[Calender_Table].[Column1 (Day)].&amp;[18-Feb]"/>
        <member name=""/>
        <member name="[Calender_Table].[Column1 (Day)].&amp;[18-Jul]"/>
        <member name="[Calender_Table].[Column1 (Day)].&amp;[18-Jun]"/>
        <member name="[Calender_Table].[Column1 (Day)].&amp;[18-Mar]"/>
        <member name="[Calender_Table].[Column1 (Day)].&amp;[18-May]"/>
        <member name="[Calender_Table].[Column1 (Day)].&amp;[18-Nov]"/>
        <member name="[Calender_Table].[Column1 (Day)].&amp;[18-Oct]"/>
        <member name="[Calender_Table].[Column1 (Day)].&amp;[18-Sep]"/>
        <member name="[Calender_Table].[Column1 (Day)].&amp;[19-Apr]"/>
        <member name="[Calender_Table].[Column1 (Day)].&amp;[19-Aug]"/>
        <member name="[Calender_Table].[Column1 (Day)].&amp;[19-Dec]"/>
        <member name="[Calender_Table].[Column1 (Day)].&amp;[19-Feb]"/>
        <member name=""/>
        <member name="[Calender_Table].[Column1 (Day)].&amp;[19-Jul]"/>
        <member name="[Calender_Table].[Column1 (Day)].&amp;[19-Jun]"/>
        <member name="[Calender_Table].[Column1 (Day)].&amp;[19-Mar]"/>
        <member name="[Calender_Table].[Column1 (Day)].&amp;[19-May]"/>
        <member name="[Calender_Table].[Column1 (Day)].&amp;[19-Nov]"/>
        <member name="[Calender_Table].[Column1 (Day)].&amp;[19-Oct]"/>
        <member name="[Calender_Table].[Column1 (Day)].&amp;[19-Sep]"/>
        <member name="[Calender_Table].[Column1 (Day)].&amp;[20-Apr]"/>
        <member name="[Calender_Table].[Column1 (Day)].&amp;[20-Aug]"/>
        <member name="[Calender_Table].[Column1 (Day)].&amp;[20-Dec]"/>
        <member name="[Calender_Table].[Column1 (Day)].&amp;[20-Feb]"/>
        <member name=""/>
        <member name="[Calender_Table].[Column1 (Day)].&amp;[20-Jul]"/>
        <member name="[Calender_Table].[Column1 (Day)].&amp;[20-Jun]"/>
        <member name="[Calender_Table].[Column1 (Day)].&amp;[20-Mar]"/>
        <member name="[Calender_Table].[Column1 (Day)].&amp;[20-May]"/>
        <member name="[Calender_Table].[Column1 (Day)].&amp;[20-Nov]"/>
        <member name="[Calender_Table].[Column1 (Day)].&amp;[20-Oct]"/>
        <member name="[Calender_Table].[Column1 (Day)].&amp;[20-Sep]"/>
        <member name="[Calender_Table].[Column1 (Day)].&amp;[21-Apr]"/>
        <member name="[Calender_Table].[Column1 (Day)].&amp;[21-Aug]"/>
        <member name="[Calender_Table].[Column1 (Day)].&amp;[21-Dec]"/>
        <member name="[Calender_Table].[Column1 (Day)].&amp;[21-Feb]"/>
        <member name=""/>
        <member name="[Calender_Table].[Column1 (Day)].&amp;[21-Jul]"/>
        <member name="[Calender_Table].[Column1 (Day)].&amp;[21-Jun]"/>
        <member name="[Calender_Table].[Column1 (Day)].&amp;[21-Mar]"/>
        <member name="[Calender_Table].[Column1 (Day)].&amp;[21-May]"/>
        <member name="[Calender_Table].[Column1 (Day)].&amp;[21-Nov]"/>
        <member name="[Calender_Table].[Column1 (Day)].&amp;[21-Oct]"/>
        <member name="[Calender_Table].[Column1 (Day)].&amp;[21-Sep]"/>
        <member name="[Calender_Table].[Column1 (Day)].&amp;[22-Apr]"/>
        <member name="[Calender_Table].[Column1 (Day)].&amp;[22-Aug]"/>
        <member name="[Calender_Table].[Column1 (Day)].&amp;[22-Dec]"/>
        <member name="[Calender_Table].[Column1 (Day)].&amp;[22-Feb]"/>
        <member name=""/>
        <member name="[Calender_Table].[Column1 (Day)].&amp;[22-Jul]"/>
        <member name="[Calender_Table].[Column1 (Day)].&amp;[22-Jun]"/>
        <member name="[Calender_Table].[Column1 (Day)].&amp;[22-Mar]"/>
        <member name="[Calender_Table].[Column1 (Day)].&amp;[22-May]"/>
        <member name="[Calender_Table].[Column1 (Day)].&amp;[22-Nov]"/>
        <member name="[Calender_Table].[Column1 (Day)].&amp;[22-Oct]"/>
        <member name="[Calender_Table].[Column1 (Day)].&amp;[22-Sep]"/>
        <member name="[Calender_Table].[Column1 (Day)].&amp;[23-Apr]"/>
        <member name="[Calender_Table].[Column1 (Day)].&amp;[23-Aug]"/>
        <member name="[Calender_Table].[Column1 (Day)].&amp;[23-Dec]"/>
        <member name="[Calender_Table].[Column1 (Day)].&amp;[23-Feb]"/>
        <member name=""/>
        <member name="[Calender_Table].[Column1 (Day)].&amp;[23-Jul]"/>
        <member name="[Calender_Table].[Column1 (Day)].&amp;[23-Jun]"/>
        <member name="[Calender_Table].[Column1 (Day)].&amp;[23-Mar]"/>
        <member name="[Calender_Table].[Column1 (Day)].&amp;[23-May]"/>
        <member name="[Calender_Table].[Column1 (Day)].&amp;[23-Nov]"/>
        <member name="[Calender_Table].[Column1 (Day)].&amp;[23-Oct]"/>
        <member name="[Calender_Table].[Column1 (Day)].&amp;[23-Sep]"/>
        <member name="[Calender_Table].[Column1 (Day)].&amp;[24-Apr]"/>
        <member name="[Calender_Table].[Column1 (Day)].&amp;[24-Aug]"/>
        <member name="[Calender_Table].[Column1 (Day)].&amp;[24-Dec]"/>
        <member name="[Calender_Table].[Column1 (Day)].&amp;[24-Feb]"/>
        <member name=""/>
        <member name="[Calender_Table].[Column1 (Day)].&amp;[24-Jul]"/>
        <member name="[Calender_Table].[Column1 (Day)].&amp;[24-Jun]"/>
        <member name="[Calender_Table].[Column1 (Day)].&amp;[24-Mar]"/>
        <member name="[Calender_Table].[Column1 (Day)].&amp;[24-May]"/>
        <member name="[Calender_Table].[Column1 (Day)].&amp;[24-Nov]"/>
        <member name="[Calender_Table].[Column1 (Day)].&amp;[24-Oct]"/>
        <member name="[Calender_Table].[Column1 (Day)].&amp;[24-Sep]"/>
        <member name="[Calender_Table].[Column1 (Day)].&amp;[25-Apr]"/>
        <member name="[Calender_Table].[Column1 (Day)].&amp;[25-Aug]"/>
        <member name="[Calender_Table].[Column1 (Day)].&amp;[25-Dec]"/>
        <member name="[Calender_Table].[Column1 (Day)].&amp;[25-Feb]"/>
        <member name=""/>
        <member name="[Calender_Table].[Column1 (Day)].&amp;[25-Jul]"/>
        <member name="[Calender_Table].[Column1 (Day)].&amp;[25-Jun]"/>
        <member name="[Calender_Table].[Column1 (Day)].&amp;[25-Mar]"/>
        <member name="[Calender_Table].[Column1 (Day)].&amp;[25-May]"/>
        <member name="[Calender_Table].[Column1 (Day)].&amp;[25-Nov]"/>
        <member name="[Calender_Table].[Column1 (Day)].&amp;[25-Oct]"/>
        <member name="[Calender_Table].[Column1 (Day)].&amp;[25-Sep]"/>
        <member name="[Calender_Table].[Column1 (Day)].&amp;[26-Apr]"/>
        <member name="[Calender_Table].[Column1 (Day)].&amp;[26-Aug]"/>
        <member name="[Calender_Table].[Column1 (Day)].&amp;[26-Dec]"/>
        <member name="[Calender_Table].[Column1 (Day)].&amp;[26-Feb]"/>
        <member name=""/>
        <member name="[Calender_Table].[Column1 (Day)].&amp;[26-Jul]"/>
        <member name="[Calender_Table].[Column1 (Day)].&amp;[26-Jun]"/>
        <member name="[Calender_Table].[Column1 (Day)].&amp;[26-Mar]"/>
        <member name="[Calender_Table].[Column1 (Day)].&amp;[26-May]"/>
        <member name="[Calender_Table].[Column1 (Day)].&amp;[26-Nov]"/>
        <member name="[Calender_Table].[Column1 (Day)].&amp;[26-Oct]"/>
        <member name="[Calender_Table].[Column1 (Day)].&amp;[26-Sep]"/>
        <member name="[Calender_Table].[Column1 (Day)].&amp;[27-Apr]"/>
        <member name="[Calender_Table].[Column1 (Day)].&amp;[27-Aug]"/>
        <member name="[Calender_Table].[Column1 (Day)].&amp;[27-Dec]"/>
        <member name="[Calender_Table].[Column1 (Day)].&amp;[27-Feb]"/>
        <member name=""/>
        <member name="[Calender_Table].[Column1 (Day)].&amp;[27-Jul]"/>
        <member name="[Calender_Table].[Column1 (Day)].&amp;[27-Jun]"/>
        <member name="[Calender_Table].[Column1 (Day)].&amp;[27-Mar]"/>
        <member name="[Calender_Table].[Column1 (Day)].&amp;[27-May]"/>
        <member name="[Calender_Table].[Column1 (Day)].&amp;[27-Nov]"/>
        <member name="[Calender_Table].[Column1 (Day)].&amp;[27-Oct]"/>
        <member name="[Calender_Table].[Column1 (Day)].&amp;[27-Sep]"/>
        <member name="[Calender_Table].[Column1 (Day)].&amp;[28-Apr]"/>
        <member name="[Calender_Table].[Column1 (Day)].&amp;[28-Aug]"/>
        <member name="[Calender_Table].[Column1 (Day)].&amp;[28-Dec]"/>
        <member name="[Calender_Table].[Column1 (Day)].&amp;[28-Feb]"/>
        <member name=""/>
        <member name="[Calender_Table].[Column1 (Day)].&amp;[28-Jul]"/>
        <member name="[Calender_Table].[Column1 (Day)].&amp;[28-Jun]"/>
        <member name="[Calender_Table].[Column1 (Day)].&amp;[28-Mar]"/>
        <member name="[Calender_Table].[Column1 (Day)].&amp;[28-May]"/>
        <member name="[Calender_Table].[Column1 (Day)].&amp;[28-Nov]"/>
        <member name="[Calender_Table].[Column1 (Day)].&amp;[28-Oct]"/>
        <member name="[Calender_Table].[Column1 (Day)].&amp;[28-Sep]"/>
        <member name="[Calender_Table].[Column1 (Day)].&amp;[29-Apr]"/>
        <member name="[Calender_Table].[Column1 (Day)].&amp;[29-Aug]"/>
        <member name="[Calender_Table].[Column1 (Day)].&amp;[29-Dec]"/>
        <member name="[Calender_Table].[Column1 (Day)].&amp;[29-Feb]"/>
        <member name=""/>
        <member name="[Calender_Table].[Column1 (Day)].&amp;[29-Jul]"/>
        <member name="[Calender_Table].[Column1 (Day)].&amp;[29-Jun]"/>
        <member name="[Calender_Table].[Column1 (Day)].&amp;[29-Mar]"/>
        <member name="[Calender_Table].[Column1 (Day)].&amp;[29-May]"/>
        <member name="[Calender_Table].[Column1 (Day)].&amp;[29-Nov]"/>
        <member name="[Calender_Table].[Column1 (Day)].&amp;[29-Oct]"/>
        <member name="[Calender_Table].[Column1 (Day)].&amp;[29-Sep]"/>
        <member name="[Calender_Table].[Column1 (Day)].&amp;[30-Apr]"/>
        <member name="[Calender_Table].[Column1 (Day)].&amp;[30-Aug]"/>
        <member name="[Calender_Table].[Column1 (Day)].&amp;[30-Dec]"/>
        <member name=""/>
        <member name="[Calender_Table].[Column1 (Day)].&amp;[30-Jul]"/>
        <member name="[Calender_Table].[Column1 (Day)].&amp;[30-Jun]"/>
        <member name="[Calender_Table].[Column1 (Day)].&amp;[30-Mar]"/>
        <member name="[Calender_Table].[Column1 (Day)].&amp;[30-May]"/>
        <member name="[Calender_Table].[Column1 (Day)].&amp;[30-Nov]"/>
        <member name="[Calender_Table].[Column1 (Day)].&amp;[30-Oct]"/>
        <member name="[Calender_Table].[Column1 (Day)].&amp;[30-Sep]"/>
        <member name="[Calender_Table].[Column1 (Day)].&amp;[31-Aug]"/>
        <member name="[Calender_Table].[Column1 (Day)].&amp;[31-Dec]"/>
        <member name=""/>
        <member name="[Calender_Table].[Column1 (Day)].&amp;[31-Jul]"/>
        <member name="[Calender_Table].[Column1 (Day)].&amp;[31-Mar]"/>
        <member name="[Calender_Table].[Column1 (Day)].&amp;[31-May]"/>
        <member name="[Calender_Table].[Column1 (Day)].&amp;[31-Oct]"/>
      </members>
    </pivotHierarchy>
    <pivotHierarchy multipleItemSelectionAllowed="1" dragToData="1">
      <members count="1" level="1">
        <member name="[Calender_Table].[Column1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087B0DCA-7FE4-43FE-ACA2-FC2F605F72A4}" sourceName="[Calender_Table].[Column1 (Month)]">
  <pivotTables>
    <pivotTable tabId="1" name="PivotTable1"/>
    <pivotTable tabId="1" name="PivotTable2"/>
    <pivotTable tabId="1" name="PivotTable3"/>
    <pivotTable tabId="1" name="PivotTable4"/>
    <pivotTable tabId="1" name="PivotTable8"/>
    <pivotTable tabId="1" name="PivotTable9"/>
    <pivotTable tabId="1" name="PivotTable10"/>
    <pivotTable tabId="1" name="Department refer"/>
    <pivotTable tabId="1" name="Gender"/>
    <pivotTable tabId="1" name="PivotTable13"/>
    <pivotTable tabId="1" name="Age group"/>
    <pivotTable tabId="1" name="PivotTable15"/>
    <pivotTable tabId="1" name="PivotTable16"/>
    <pivotTable tabId="1" name="PivotTable17"/>
  </pivotTables>
  <data>
    <olap pivotCacheId="1568564564">
      <levels count="2">
        <level uniqueName="[Calender_Table].[Column1 (Month)].[(All)]" sourceCaption="(All)" count="0"/>
        <level uniqueName="[Calender_Table].[Column1 (Month)].[Column1 (Month)]" sourceCaption="Column1 (Month)" count="13">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i n="[Calender_Table].[Column1 (Month)].&amp;" c="(blank)" nd="1"/>
            </range>
          </ranges>
        </level>
      </levels>
      <selections count="1">
        <selection n="[Calender_Table].[Column1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28BEA504-E000-460E-841F-86174B5887B5}" sourceName="[Calender_Table].[Column1 (Year)]">
  <pivotTables>
    <pivotTable tabId="1" name="PivotTable17"/>
    <pivotTable tabId="1" name="Age group"/>
    <pivotTable tabId="1" name="Department refer"/>
    <pivotTable tabId="1" name="Gender"/>
    <pivotTable tabId="1" name="PivotTable1"/>
    <pivotTable tabId="1" name="PivotTable10"/>
    <pivotTable tabId="1" name="PivotTable13"/>
    <pivotTable tabId="1" name="PivotTable15"/>
    <pivotTable tabId="1" name="PivotTable16"/>
    <pivotTable tabId="1" name="PivotTable2"/>
    <pivotTable tabId="1" name="PivotTable3"/>
    <pivotTable tabId="1" name="PivotTable4"/>
    <pivotTable tabId="1" name="PivotTable8"/>
    <pivotTable tabId="1" name="PivotTable9"/>
    <pivotTable tabId="3" name="PivotTable7"/>
  </pivotTables>
  <data>
    <olap pivotCacheId="1200709471">
      <levels count="2">
        <level uniqueName="[Calender_Table].[Column1 (Year)].[(All)]" sourceCaption="(All)" count="0"/>
        <level uniqueName="[Calender_Table].[Column1 (Year)].[Column1 (Year)]" sourceCaption="Column1 (Year)" count="3">
          <ranges>
            <range startItem="0">
              <i n="[Calender_Table].[Column1 (Year)].&amp;[2023]" c="2023"/>
              <i n="[Calender_Table].[Column1 (Year)].&amp;[2024]" c="2024"/>
              <i n="[Calender_Table].[Column1 (Year)].&amp;" c="(blank)" nd="1"/>
            </range>
          </ranges>
        </level>
      </levels>
      <selections count="1">
        <selection n="[Calender_Table].[Column1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xr10:uid="{220022B3-5070-4494-98EA-5BC610BCC456}" cache="Slicer_Column1__Year" caption="Column1 (Year)" columnCount="2" showCaption="0" level="1" style="lawda"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1" xr10:uid="{77DACE4A-18E8-431F-B9BF-21AEF932A9FF}" cache="Slicer_Column1__Month" caption="Column1 (Month)" showCaption="0" level="1" style="lawda" rowHeight="247650"/>
  <slicer name="Column1 (Year) 1" xr10:uid="{1967A0A3-F098-4A50-AE52-961B2EEF9993}" cache="Slicer_Column1__Year" caption="Column1 (Year)" columnCount="2" showCaption="0" level="1" style="lawda"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microsoft.com/office/2007/relationships/slicer" Target="../slicers/slicer1.xml"/><Relationship Id="rId2" Type="http://schemas.openxmlformats.org/officeDocument/2006/relationships/pivotTable" Target="../pivotTables/pivotTable3.xml"/><Relationship Id="rId16" Type="http://schemas.openxmlformats.org/officeDocument/2006/relationships/drawing" Target="../drawings/drawing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rinterSettings" Target="../printerSettings/printerSettings1.bin"/><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E94B-4728-440F-8B43-B11F50F03729}">
  <dimension ref="B3:D20"/>
  <sheetViews>
    <sheetView workbookViewId="0">
      <selection activeCell="B3" sqref="B3"/>
    </sheetView>
  </sheetViews>
  <sheetFormatPr defaultRowHeight="14.4" x14ac:dyDescent="0.3"/>
  <cols>
    <col min="2" max="2" width="12.44140625" bestFit="1" customWidth="1"/>
    <col min="3" max="3" width="21.33203125" bestFit="1" customWidth="1"/>
  </cols>
  <sheetData>
    <row r="3" spans="2:4" x14ac:dyDescent="0.3">
      <c r="B3" s="1"/>
      <c r="C3" s="2"/>
      <c r="D3" s="3"/>
    </row>
    <row r="4" spans="2:4" x14ac:dyDescent="0.3">
      <c r="B4" s="4"/>
      <c r="C4" s="5"/>
      <c r="D4" s="6"/>
    </row>
    <row r="5" spans="2:4" x14ac:dyDescent="0.3">
      <c r="B5" s="4"/>
      <c r="C5" s="5"/>
      <c r="D5" s="6"/>
    </row>
    <row r="6" spans="2:4" x14ac:dyDescent="0.3">
      <c r="B6" s="4"/>
      <c r="C6" s="5"/>
      <c r="D6" s="6"/>
    </row>
    <row r="7" spans="2:4" x14ac:dyDescent="0.3">
      <c r="B7" s="4"/>
      <c r="C7" s="5"/>
      <c r="D7" s="6"/>
    </row>
    <row r="8" spans="2:4" x14ac:dyDescent="0.3">
      <c r="B8" s="4"/>
      <c r="C8" s="5"/>
      <c r="D8" s="6"/>
    </row>
    <row r="9" spans="2:4" x14ac:dyDescent="0.3">
      <c r="B9" s="4"/>
      <c r="C9" s="5"/>
      <c r="D9" s="6"/>
    </row>
    <row r="10" spans="2:4" x14ac:dyDescent="0.3">
      <c r="B10" s="4"/>
      <c r="C10" s="5"/>
      <c r="D10" s="6"/>
    </row>
    <row r="11" spans="2:4" x14ac:dyDescent="0.3">
      <c r="B11" s="4"/>
      <c r="C11" s="5"/>
      <c r="D11" s="6"/>
    </row>
    <row r="12" spans="2:4" x14ac:dyDescent="0.3">
      <c r="B12" s="4"/>
      <c r="C12" s="5"/>
      <c r="D12" s="6"/>
    </row>
    <row r="13" spans="2:4" x14ac:dyDescent="0.3">
      <c r="B13" s="4"/>
      <c r="C13" s="5"/>
      <c r="D13" s="6"/>
    </row>
    <row r="14" spans="2:4" x14ac:dyDescent="0.3">
      <c r="B14" s="4"/>
      <c r="C14" s="5"/>
      <c r="D14" s="6"/>
    </row>
    <row r="15" spans="2:4" x14ac:dyDescent="0.3">
      <c r="B15" s="4"/>
      <c r="C15" s="5"/>
      <c r="D15" s="6"/>
    </row>
    <row r="16" spans="2:4" x14ac:dyDescent="0.3">
      <c r="B16" s="4"/>
      <c r="C16" s="5"/>
      <c r="D16" s="6"/>
    </row>
    <row r="17" spans="2:4" x14ac:dyDescent="0.3">
      <c r="B17" s="4"/>
      <c r="C17" s="5"/>
      <c r="D17" s="6"/>
    </row>
    <row r="18" spans="2:4" x14ac:dyDescent="0.3">
      <c r="B18" s="4"/>
      <c r="C18" s="5"/>
      <c r="D18" s="6"/>
    </row>
    <row r="19" spans="2:4" x14ac:dyDescent="0.3">
      <c r="B19" s="4"/>
      <c r="C19" s="5"/>
      <c r="D19" s="6"/>
    </row>
    <row r="20" spans="2:4" x14ac:dyDescent="0.3">
      <c r="B20" s="7"/>
      <c r="C20" s="8"/>
      <c r="D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3158-87F2-463B-AF06-80DAD4993258}">
  <dimension ref="A5:R51"/>
  <sheetViews>
    <sheetView topLeftCell="A33" workbookViewId="0">
      <selection activeCell="B49" sqref="B49:E51"/>
    </sheetView>
  </sheetViews>
  <sheetFormatPr defaultRowHeight="14.4" x14ac:dyDescent="0.3"/>
  <cols>
    <col min="1" max="1" width="4.109375" bestFit="1" customWidth="1"/>
    <col min="2" max="2" width="12.44140625" bestFit="1" customWidth="1"/>
    <col min="3" max="3" width="27.44140625" bestFit="1" customWidth="1"/>
    <col min="4" max="4" width="24.21875" bestFit="1" customWidth="1"/>
    <col min="5" max="5" width="12.44140625" bestFit="1" customWidth="1"/>
    <col min="6" max="6" width="31.77734375" bestFit="1" customWidth="1"/>
    <col min="10" max="10" width="12.44140625" bestFit="1" customWidth="1"/>
    <col min="11" max="11" width="16.21875" bestFit="1" customWidth="1"/>
    <col min="12" max="12" width="8" customWidth="1"/>
    <col min="13" max="13" width="4.109375" bestFit="1" customWidth="1"/>
    <col min="14" max="14" width="3.88671875" bestFit="1" customWidth="1"/>
    <col min="15" max="15" width="4.33203125" bestFit="1" customWidth="1"/>
    <col min="16" max="16" width="12.44140625" bestFit="1" customWidth="1"/>
    <col min="17" max="17" width="24.21875" bestFit="1" customWidth="1"/>
    <col min="18" max="19" width="10.5546875" bestFit="1" customWidth="1"/>
    <col min="20" max="22" width="8.33203125" bestFit="1" customWidth="1"/>
    <col min="23" max="25" width="9.33203125" bestFit="1" customWidth="1"/>
    <col min="26" max="34" width="8.33203125" bestFit="1" customWidth="1"/>
    <col min="35" max="35" width="9.33203125" bestFit="1" customWidth="1"/>
    <col min="36" max="36" width="10.5546875" bestFit="1" customWidth="1"/>
    <col min="37" max="740" width="15.5546875" bestFit="1" customWidth="1"/>
    <col min="741" max="741" width="10.5546875" bestFit="1" customWidth="1"/>
  </cols>
  <sheetData>
    <row r="5" spans="1:17" x14ac:dyDescent="0.3">
      <c r="A5" t="s">
        <v>0</v>
      </c>
      <c r="D5" t="s">
        <v>2</v>
      </c>
      <c r="F5" t="s">
        <v>3</v>
      </c>
      <c r="J5" s="10" t="s">
        <v>4</v>
      </c>
      <c r="K5" t="s">
        <v>0</v>
      </c>
      <c r="P5" s="10" t="s">
        <v>4</v>
      </c>
      <c r="Q5" t="s">
        <v>2</v>
      </c>
    </row>
    <row r="6" spans="1:17" x14ac:dyDescent="0.3">
      <c r="A6">
        <v>122</v>
      </c>
      <c r="D6" s="12">
        <v>34.377049180327866</v>
      </c>
      <c r="F6" s="12">
        <v>5.333333333333333</v>
      </c>
      <c r="J6" s="13" t="s">
        <v>8</v>
      </c>
      <c r="K6">
        <v>14</v>
      </c>
      <c r="P6" s="13" t="s">
        <v>8</v>
      </c>
      <c r="Q6">
        <v>30.142857142857142</v>
      </c>
    </row>
    <row r="7" spans="1:17" x14ac:dyDescent="0.3">
      <c r="J7" s="13" t="s">
        <v>9</v>
      </c>
      <c r="K7">
        <v>16</v>
      </c>
      <c r="P7" s="13" t="s">
        <v>9</v>
      </c>
      <c r="Q7">
        <v>34.5625</v>
      </c>
    </row>
    <row r="8" spans="1:17" x14ac:dyDescent="0.3">
      <c r="J8" s="13" t="s">
        <v>10</v>
      </c>
      <c r="K8">
        <v>17</v>
      </c>
      <c r="P8" s="13" t="s">
        <v>10</v>
      </c>
      <c r="Q8">
        <v>33.294117647058826</v>
      </c>
    </row>
    <row r="9" spans="1:17" x14ac:dyDescent="0.3">
      <c r="J9" s="13" t="s">
        <v>11</v>
      </c>
      <c r="K9">
        <v>12</v>
      </c>
      <c r="P9" s="13" t="s">
        <v>11</v>
      </c>
      <c r="Q9">
        <v>34.666666666666664</v>
      </c>
    </row>
    <row r="10" spans="1:17" x14ac:dyDescent="0.3">
      <c r="A10" t="s">
        <v>1</v>
      </c>
      <c r="J10" s="13" t="s">
        <v>12</v>
      </c>
      <c r="K10">
        <v>10</v>
      </c>
      <c r="P10" s="13" t="s">
        <v>12</v>
      </c>
      <c r="Q10">
        <v>25.1</v>
      </c>
    </row>
    <row r="11" spans="1:17" x14ac:dyDescent="0.3">
      <c r="A11">
        <v>122</v>
      </c>
      <c r="E11" s="10" t="s">
        <v>4</v>
      </c>
      <c r="F11" t="s">
        <v>3</v>
      </c>
      <c r="J11" s="13" t="s">
        <v>13</v>
      </c>
      <c r="K11">
        <v>11</v>
      </c>
      <c r="P11" s="13" t="s">
        <v>13</v>
      </c>
      <c r="Q11">
        <v>36.81818181818182</v>
      </c>
    </row>
    <row r="12" spans="1:17" x14ac:dyDescent="0.3">
      <c r="E12" s="13" t="s">
        <v>8</v>
      </c>
      <c r="F12">
        <v>2</v>
      </c>
      <c r="J12" s="13" t="s">
        <v>14</v>
      </c>
      <c r="K12">
        <v>15</v>
      </c>
      <c r="P12" s="13" t="s">
        <v>14</v>
      </c>
      <c r="Q12">
        <v>37.266666666666666</v>
      </c>
    </row>
    <row r="13" spans="1:17" x14ac:dyDescent="0.3">
      <c r="E13" s="13" t="s">
        <v>9</v>
      </c>
      <c r="F13">
        <v>5.25</v>
      </c>
      <c r="J13" s="13" t="s">
        <v>15</v>
      </c>
      <c r="K13">
        <v>16</v>
      </c>
      <c r="P13" s="13" t="s">
        <v>15</v>
      </c>
      <c r="Q13">
        <v>39.8125</v>
      </c>
    </row>
    <row r="14" spans="1:17" x14ac:dyDescent="0.3">
      <c r="E14" s="13" t="s">
        <v>10</v>
      </c>
      <c r="F14">
        <v>7.333333333333333</v>
      </c>
      <c r="J14" s="13" t="s">
        <v>16</v>
      </c>
      <c r="K14">
        <v>11</v>
      </c>
      <c r="P14" s="13" t="s">
        <v>16</v>
      </c>
      <c r="Q14">
        <v>35</v>
      </c>
    </row>
    <row r="15" spans="1:17" x14ac:dyDescent="0.3">
      <c r="E15" s="13" t="s">
        <v>11</v>
      </c>
      <c r="F15">
        <v>6</v>
      </c>
      <c r="J15" s="13" t="s">
        <v>5</v>
      </c>
      <c r="K15">
        <v>122</v>
      </c>
      <c r="P15" s="13" t="s">
        <v>5</v>
      </c>
      <c r="Q15">
        <v>34.377049180327866</v>
      </c>
    </row>
    <row r="16" spans="1:17" x14ac:dyDescent="0.3">
      <c r="E16" s="13" t="s">
        <v>12</v>
      </c>
      <c r="F16">
        <v>6.333333333333333</v>
      </c>
    </row>
    <row r="17" spans="5:17" x14ac:dyDescent="0.3">
      <c r="E17" s="13" t="s">
        <v>13</v>
      </c>
      <c r="F17">
        <v>6.2</v>
      </c>
    </row>
    <row r="18" spans="5:17" x14ac:dyDescent="0.3">
      <c r="E18" s="13" t="s">
        <v>14</v>
      </c>
      <c r="F18">
        <v>5.6</v>
      </c>
    </row>
    <row r="19" spans="5:17" x14ac:dyDescent="0.3">
      <c r="E19" s="13" t="s">
        <v>15</v>
      </c>
      <c r="F19">
        <v>4.8</v>
      </c>
    </row>
    <row r="20" spans="5:17" x14ac:dyDescent="0.3">
      <c r="E20" s="13" t="s">
        <v>16</v>
      </c>
      <c r="F20">
        <v>5.25</v>
      </c>
    </row>
    <row r="21" spans="5:17" x14ac:dyDescent="0.3">
      <c r="E21" s="13" t="s">
        <v>5</v>
      </c>
      <c r="F21">
        <v>5.333333333333333</v>
      </c>
      <c r="J21" s="10" t="s">
        <v>4</v>
      </c>
      <c r="K21" t="s">
        <v>27</v>
      </c>
    </row>
    <row r="22" spans="5:17" x14ac:dyDescent="0.3">
      <c r="J22" s="13" t="s">
        <v>25</v>
      </c>
      <c r="K22">
        <v>61</v>
      </c>
    </row>
    <row r="23" spans="5:17" x14ac:dyDescent="0.3">
      <c r="J23" s="13" t="s">
        <v>26</v>
      </c>
      <c r="K23">
        <v>61</v>
      </c>
      <c r="P23" s="10" t="s">
        <v>4</v>
      </c>
      <c r="Q23" t="s">
        <v>41</v>
      </c>
    </row>
    <row r="24" spans="5:17" x14ac:dyDescent="0.3">
      <c r="J24" s="13" t="s">
        <v>5</v>
      </c>
      <c r="K24">
        <v>122</v>
      </c>
      <c r="P24" s="13" t="s">
        <v>30</v>
      </c>
      <c r="Q24">
        <v>32</v>
      </c>
    </row>
    <row r="25" spans="5:17" x14ac:dyDescent="0.3">
      <c r="P25" s="13" t="s">
        <v>31</v>
      </c>
      <c r="Q25">
        <v>13</v>
      </c>
    </row>
    <row r="26" spans="5:17" x14ac:dyDescent="0.3">
      <c r="P26" s="13" t="s">
        <v>32</v>
      </c>
      <c r="Q26">
        <v>16</v>
      </c>
    </row>
    <row r="27" spans="5:17" x14ac:dyDescent="0.3">
      <c r="J27" s="10" t="s">
        <v>4</v>
      </c>
      <c r="K27" t="s">
        <v>0</v>
      </c>
      <c r="P27" s="13" t="s">
        <v>33</v>
      </c>
      <c r="Q27">
        <v>13</v>
      </c>
    </row>
    <row r="28" spans="5:17" x14ac:dyDescent="0.3">
      <c r="J28" s="13" t="s">
        <v>28</v>
      </c>
      <c r="K28">
        <v>67</v>
      </c>
      <c r="P28" s="13" t="s">
        <v>34</v>
      </c>
      <c r="Q28">
        <v>14</v>
      </c>
    </row>
    <row r="29" spans="5:17" x14ac:dyDescent="0.3">
      <c r="J29" s="13" t="s">
        <v>29</v>
      </c>
      <c r="K29">
        <v>55</v>
      </c>
      <c r="P29" s="13" t="s">
        <v>35</v>
      </c>
      <c r="Q29">
        <v>17</v>
      </c>
    </row>
    <row r="30" spans="5:17" x14ac:dyDescent="0.3">
      <c r="E30" s="10" t="s">
        <v>4</v>
      </c>
      <c r="F30" t="s">
        <v>42</v>
      </c>
      <c r="J30" s="13" t="s">
        <v>5</v>
      </c>
      <c r="K30">
        <v>122</v>
      </c>
      <c r="P30" s="13" t="s">
        <v>36</v>
      </c>
      <c r="Q30">
        <v>17</v>
      </c>
    </row>
    <row r="31" spans="5:17" x14ac:dyDescent="0.3">
      <c r="E31" s="13" t="s">
        <v>24</v>
      </c>
      <c r="F31">
        <v>1</v>
      </c>
      <c r="P31" s="13" t="s">
        <v>5</v>
      </c>
      <c r="Q31">
        <v>122</v>
      </c>
    </row>
    <row r="32" spans="5:17" x14ac:dyDescent="0.3">
      <c r="E32" s="13" t="s">
        <v>23</v>
      </c>
      <c r="F32">
        <v>4</v>
      </c>
    </row>
    <row r="33" spans="2:18" x14ac:dyDescent="0.3">
      <c r="E33" s="13" t="s">
        <v>22</v>
      </c>
      <c r="F33">
        <v>16</v>
      </c>
    </row>
    <row r="34" spans="2:18" x14ac:dyDescent="0.3">
      <c r="E34" s="13" t="s">
        <v>21</v>
      </c>
      <c r="F34">
        <v>65</v>
      </c>
    </row>
    <row r="35" spans="2:18" x14ac:dyDescent="0.3">
      <c r="E35" s="13" t="s">
        <v>20</v>
      </c>
      <c r="F35">
        <v>3</v>
      </c>
    </row>
    <row r="36" spans="2:18" x14ac:dyDescent="0.3">
      <c r="E36" s="13" t="s">
        <v>19</v>
      </c>
      <c r="F36">
        <v>19</v>
      </c>
      <c r="J36" s="10" t="s">
        <v>4</v>
      </c>
      <c r="K36" t="s">
        <v>39</v>
      </c>
      <c r="L36" s="14"/>
      <c r="Q36" s="10" t="s">
        <v>6</v>
      </c>
    </row>
    <row r="37" spans="2:18" x14ac:dyDescent="0.3">
      <c r="E37" s="13" t="s">
        <v>18</v>
      </c>
      <c r="F37">
        <v>7</v>
      </c>
      <c r="J37" s="13" t="s">
        <v>37</v>
      </c>
      <c r="K37">
        <v>52</v>
      </c>
      <c r="L37" s="16"/>
      <c r="Q37" t="s">
        <v>7</v>
      </c>
      <c r="R37" t="s">
        <v>5</v>
      </c>
    </row>
    <row r="38" spans="2:18" x14ac:dyDescent="0.3">
      <c r="E38" s="13" t="s">
        <v>17</v>
      </c>
      <c r="F38">
        <v>7</v>
      </c>
      <c r="J38" s="13" t="s">
        <v>38</v>
      </c>
      <c r="K38">
        <v>70</v>
      </c>
      <c r="L38" s="15"/>
      <c r="P38" t="s">
        <v>39</v>
      </c>
      <c r="Q38">
        <v>122</v>
      </c>
      <c r="R38">
        <v>122</v>
      </c>
    </row>
    <row r="39" spans="2:18" x14ac:dyDescent="0.3">
      <c r="E39" s="13" t="s">
        <v>5</v>
      </c>
      <c r="F39">
        <v>122</v>
      </c>
      <c r="J39" s="13" t="s">
        <v>5</v>
      </c>
      <c r="K39">
        <v>122</v>
      </c>
    </row>
    <row r="41" spans="2:18" x14ac:dyDescent="0.3">
      <c r="B41" s="10" t="s">
        <v>4</v>
      </c>
      <c r="C41" t="s">
        <v>43</v>
      </c>
      <c r="D41" t="s">
        <v>44</v>
      </c>
    </row>
    <row r="42" spans="2:18" x14ac:dyDescent="0.3">
      <c r="B42" s="13" t="s">
        <v>37</v>
      </c>
      <c r="C42">
        <v>52</v>
      </c>
      <c r="D42" s="15">
        <v>0.42622950819672129</v>
      </c>
    </row>
    <row r="43" spans="2:18" x14ac:dyDescent="0.3">
      <c r="B43" s="13" t="s">
        <v>38</v>
      </c>
      <c r="C43">
        <v>70</v>
      </c>
      <c r="D43" s="15">
        <v>0.57377049180327866</v>
      </c>
    </row>
    <row r="44" spans="2:18" x14ac:dyDescent="0.3">
      <c r="B44" s="13" t="s">
        <v>5</v>
      </c>
      <c r="C44">
        <v>122</v>
      </c>
      <c r="D44" s="15">
        <v>1</v>
      </c>
    </row>
    <row r="49" spans="1:5" x14ac:dyDescent="0.3">
      <c r="A49" s="19"/>
      <c r="B49" s="11" t="s">
        <v>45</v>
      </c>
      <c r="C49" s="11" t="s">
        <v>47</v>
      </c>
      <c r="D49" s="18" t="s">
        <v>40</v>
      </c>
      <c r="E49" s="11" t="s">
        <v>46</v>
      </c>
    </row>
    <row r="50" spans="1:5" x14ac:dyDescent="0.3">
      <c r="B50" t="str">
        <f>B43</f>
        <v>Not Admitted</v>
      </c>
      <c r="C50">
        <f>C43</f>
        <v>70</v>
      </c>
      <c r="D50" s="17">
        <f>D43</f>
        <v>0.57377049180327866</v>
      </c>
    </row>
    <row r="51" spans="1:5" x14ac:dyDescent="0.3">
      <c r="B51" t="str">
        <f>B42</f>
        <v>Admitted</v>
      </c>
      <c r="C51">
        <f>C42</f>
        <v>52</v>
      </c>
      <c r="D51" s="17">
        <f>D42</f>
        <v>0.42622950819672129</v>
      </c>
    </row>
  </sheetData>
  <sortState xmlns:xlrd2="http://schemas.microsoft.com/office/spreadsheetml/2017/richdata2" ref="B50:E50">
    <sortCondition ref="B50"/>
  </sortState>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8D14-A2DC-481C-8FC0-32FCC63CF9FB}">
  <dimension ref="A1:X27"/>
  <sheetViews>
    <sheetView tabSelected="1" workbookViewId="0">
      <selection activeCell="T10" sqref="T10"/>
    </sheetView>
  </sheetViews>
  <sheetFormatPr defaultRowHeight="14.4" x14ac:dyDescent="0.3"/>
  <cols>
    <col min="6" max="6" width="8.6640625" customWidth="1"/>
  </cols>
  <sheetData>
    <row r="1" spans="1:24" x14ac:dyDescent="0.3">
      <c r="A1" s="11"/>
      <c r="B1" s="11"/>
      <c r="C1" s="11"/>
      <c r="D1" s="11"/>
      <c r="E1" s="11"/>
      <c r="F1" s="11"/>
      <c r="G1" s="11"/>
      <c r="H1" s="11"/>
      <c r="I1" s="11"/>
      <c r="J1" s="11"/>
      <c r="K1" s="11"/>
      <c r="L1" s="11"/>
      <c r="M1" s="11"/>
      <c r="N1" s="11"/>
      <c r="O1" s="11"/>
      <c r="P1" s="11"/>
      <c r="Q1" s="11"/>
      <c r="R1" s="11"/>
      <c r="S1" s="11"/>
      <c r="T1" s="11"/>
      <c r="U1" s="11"/>
      <c r="V1" s="11"/>
      <c r="W1" s="11"/>
      <c r="X1" s="11"/>
    </row>
    <row r="2" spans="1:24" x14ac:dyDescent="0.3">
      <c r="A2" s="11"/>
      <c r="B2" s="11"/>
      <c r="C2" s="11"/>
      <c r="D2" s="11"/>
      <c r="E2" s="11"/>
      <c r="F2" s="11"/>
      <c r="G2" s="11"/>
      <c r="H2" s="11"/>
      <c r="I2" s="11"/>
      <c r="J2" s="11"/>
      <c r="K2" s="11"/>
      <c r="L2" s="11"/>
      <c r="M2" s="11"/>
      <c r="N2" s="11"/>
      <c r="O2" s="11"/>
      <c r="P2" s="11"/>
      <c r="Q2" s="11"/>
      <c r="R2" s="11"/>
      <c r="S2" s="11"/>
      <c r="T2" s="11"/>
      <c r="U2" s="11"/>
      <c r="V2" s="11"/>
      <c r="W2" s="11"/>
      <c r="X2" s="11"/>
    </row>
    <row r="3" spans="1:24" x14ac:dyDescent="0.3">
      <c r="A3" s="11"/>
      <c r="B3" s="11"/>
      <c r="C3" s="11"/>
      <c r="D3" s="11"/>
      <c r="E3" s="11"/>
      <c r="F3" s="11"/>
      <c r="G3" s="11"/>
      <c r="H3" s="11"/>
      <c r="I3" s="11"/>
      <c r="J3" s="11"/>
      <c r="K3" s="11"/>
      <c r="L3" s="11"/>
      <c r="M3" s="11"/>
      <c r="N3" s="11"/>
      <c r="O3" s="11"/>
      <c r="P3" s="11"/>
      <c r="Q3" s="11"/>
      <c r="R3" s="11"/>
      <c r="S3" s="11"/>
      <c r="T3" s="11"/>
      <c r="U3" s="11"/>
      <c r="V3" s="11"/>
      <c r="W3" s="11"/>
      <c r="X3" s="11"/>
    </row>
    <row r="4" spans="1:24" x14ac:dyDescent="0.3">
      <c r="A4" s="11"/>
      <c r="B4" s="11"/>
      <c r="C4" s="11"/>
      <c r="D4" s="11"/>
      <c r="E4" s="11"/>
      <c r="F4" s="11"/>
      <c r="G4" s="11"/>
      <c r="H4" s="11"/>
      <c r="I4" s="11"/>
      <c r="J4" s="11"/>
      <c r="K4" s="11"/>
      <c r="L4" s="11"/>
      <c r="M4" s="11"/>
      <c r="N4" s="11"/>
      <c r="O4" s="11"/>
      <c r="P4" s="11"/>
      <c r="Q4" s="11"/>
      <c r="R4" s="11"/>
      <c r="S4" s="11"/>
      <c r="T4" s="11"/>
      <c r="U4" s="11"/>
      <c r="V4" s="11"/>
      <c r="W4" s="11"/>
      <c r="X4" s="11"/>
    </row>
    <row r="5" spans="1:24" x14ac:dyDescent="0.3">
      <c r="A5" s="11"/>
      <c r="B5" s="11"/>
      <c r="C5" s="11"/>
      <c r="D5" s="11"/>
      <c r="E5" s="11"/>
      <c r="F5" s="11"/>
      <c r="G5" s="11"/>
      <c r="H5" s="11"/>
      <c r="I5" s="11"/>
      <c r="J5" s="11"/>
      <c r="K5" s="11"/>
      <c r="L5" s="11"/>
      <c r="M5" s="11"/>
      <c r="N5" s="11"/>
      <c r="O5" s="11"/>
      <c r="P5" s="11"/>
      <c r="Q5" s="11"/>
      <c r="R5" s="11"/>
      <c r="S5" s="11"/>
      <c r="T5" s="11"/>
      <c r="U5" s="11"/>
      <c r="V5" s="11"/>
      <c r="W5" s="11"/>
      <c r="X5" s="11"/>
    </row>
    <row r="6" spans="1:24" x14ac:dyDescent="0.3">
      <c r="A6" s="11"/>
      <c r="B6" s="11"/>
      <c r="C6" s="11"/>
      <c r="D6" s="11"/>
      <c r="E6" s="11"/>
      <c r="F6" s="11"/>
      <c r="G6" s="11"/>
      <c r="H6" s="11"/>
      <c r="I6" s="11"/>
      <c r="J6" s="11"/>
      <c r="K6" s="11"/>
      <c r="L6" s="11"/>
      <c r="M6" s="11"/>
      <c r="N6" s="11"/>
      <c r="O6" s="11"/>
      <c r="P6" s="11"/>
      <c r="Q6" s="11"/>
      <c r="R6" s="11"/>
      <c r="S6" s="11"/>
      <c r="T6" s="11"/>
      <c r="U6" s="11"/>
      <c r="V6" s="11"/>
      <c r="W6" s="11"/>
      <c r="X6" s="11"/>
    </row>
    <row r="7" spans="1:24" x14ac:dyDescent="0.3">
      <c r="A7" s="11"/>
      <c r="B7" s="11"/>
      <c r="C7" s="11"/>
      <c r="D7" s="11"/>
      <c r="E7" s="11"/>
      <c r="F7" s="11"/>
      <c r="G7" s="11"/>
      <c r="H7" s="11"/>
      <c r="I7" s="11"/>
      <c r="J7" s="11"/>
      <c r="K7" s="11"/>
      <c r="L7" s="11"/>
      <c r="M7" s="11"/>
      <c r="N7" s="11"/>
      <c r="O7" s="11"/>
      <c r="P7" s="11"/>
      <c r="Q7" s="11"/>
      <c r="R7" s="11"/>
      <c r="S7" s="11"/>
      <c r="T7" s="11"/>
      <c r="U7" s="11"/>
      <c r="V7" s="11"/>
      <c r="W7" s="11"/>
      <c r="X7" s="11"/>
    </row>
    <row r="8" spans="1:24" x14ac:dyDescent="0.3">
      <c r="A8" s="11"/>
      <c r="B8" s="11"/>
      <c r="C8" s="11"/>
      <c r="D8" s="11"/>
      <c r="E8" s="11"/>
      <c r="F8" s="11"/>
      <c r="G8" s="11"/>
      <c r="H8" s="11"/>
      <c r="I8" s="11"/>
      <c r="J8" s="11"/>
      <c r="K8" s="11"/>
      <c r="L8" s="11"/>
      <c r="M8" s="11"/>
      <c r="N8" s="11"/>
      <c r="O8" s="11"/>
      <c r="P8" s="11"/>
      <c r="Q8" s="11"/>
      <c r="R8" s="11"/>
      <c r="S8" s="11"/>
      <c r="T8" s="11"/>
      <c r="U8" s="11"/>
      <c r="V8" s="11"/>
      <c r="W8" s="11"/>
      <c r="X8" s="11"/>
    </row>
    <row r="9" spans="1:24" x14ac:dyDescent="0.3">
      <c r="A9" s="11"/>
      <c r="B9" s="11"/>
      <c r="C9" s="11"/>
      <c r="D9" s="11"/>
      <c r="E9" s="11"/>
      <c r="F9" s="11"/>
      <c r="G9" s="11"/>
      <c r="H9" s="11"/>
      <c r="I9" s="11"/>
      <c r="J9" s="11"/>
      <c r="K9" s="11"/>
      <c r="L9" s="11"/>
      <c r="M9" s="11"/>
      <c r="N9" s="11"/>
      <c r="O9" s="11"/>
      <c r="P9" s="11"/>
      <c r="Q9" s="11"/>
      <c r="R9" s="11"/>
      <c r="S9" s="11"/>
      <c r="T9" s="11"/>
      <c r="U9" s="11"/>
      <c r="V9" s="11"/>
      <c r="W9" s="11"/>
      <c r="X9" s="11"/>
    </row>
    <row r="10" spans="1:24"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row>
    <row r="11" spans="1:24"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row>
    <row r="12" spans="1:24"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row>
    <row r="13" spans="1:24"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row>
    <row r="14" spans="1:24"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row>
    <row r="15" spans="1:24"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row>
    <row r="21" spans="1:24"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row>
    <row r="22" spans="1:24"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row>
    <row r="23" spans="1:24"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row>
    <row r="24" spans="1:24"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row>
    <row r="25" spans="1:24"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row>
    <row r="26" spans="1:24"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row>
    <row r="27" spans="1:24"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89B6-292E-4CF4-99E7-5EC5CA95F985}">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9A433-E72D-45DE-8352-B6B2A864DD40}">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D765-D60A-4CD2-B8DC-0800490D6D5F}">
  <dimension ref="A1"/>
  <sheetViews>
    <sheetView workbookViewId="0">
      <selection activeCell="T6" sqref="T6"/>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F1ABF4A-597F-447E-A92F-3D1DF86C3F81}">
  <ds:schemaRefs/>
</ds:datastoreItem>
</file>

<file path=customXml/itemProps2.xml><?xml version="1.0" encoding="utf-8"?>
<ds:datastoreItem xmlns:ds="http://schemas.openxmlformats.org/officeDocument/2006/customXml" ds:itemID="{DDE0D764-3A94-4C8D-B915-A75B60CEDABD}">
  <ds:schemaRefs/>
</ds:datastoreItem>
</file>

<file path=customXml/itemProps3.xml><?xml version="1.0" encoding="utf-8"?>
<ds:datastoreItem xmlns:ds="http://schemas.openxmlformats.org/officeDocument/2006/customXml" ds:itemID="{17F6DE91-9787-48BD-89EC-410C2B9708CB}">
  <ds:schemaRefs/>
</ds:datastoreItem>
</file>

<file path=customXml/itemProps4.xml><?xml version="1.0" encoding="utf-8"?>
<ds:datastoreItem xmlns:ds="http://schemas.openxmlformats.org/officeDocument/2006/customXml" ds:itemID="{B8BBAF56-76B6-445E-AA01-2715E4132706}">
  <ds:schemaRefs/>
</ds:datastoreItem>
</file>

<file path=customXml/itemProps5.xml><?xml version="1.0" encoding="utf-8"?>
<ds:datastoreItem xmlns:ds="http://schemas.openxmlformats.org/officeDocument/2006/customXml" ds:itemID="{77FAACA7-39C9-4DAF-B459-E5BE1F3C10D0}">
  <ds:schemaRefs/>
</ds:datastoreItem>
</file>

<file path=customXml/itemProps6.xml><?xml version="1.0" encoding="utf-8"?>
<ds:datastoreItem xmlns:ds="http://schemas.openxmlformats.org/officeDocument/2006/customXml" ds:itemID="{478E2221-9D82-4B1E-9D36-BCCEF84E3E3E}">
  <ds:schemaRefs/>
</ds:datastoreItem>
</file>

<file path=customXml/itemProps7.xml><?xml version="1.0" encoding="utf-8"?>
<ds:datastoreItem xmlns:ds="http://schemas.openxmlformats.org/officeDocument/2006/customXml" ds:itemID="{C4B1641A-EABB-44B6-B9C6-2FD6C0A48558}">
  <ds:schemaRefs/>
</ds:datastoreItem>
</file>

<file path=customXml/itemProps8.xml><?xml version="1.0" encoding="utf-8"?>
<ds:datastoreItem xmlns:ds="http://schemas.openxmlformats.org/officeDocument/2006/customXml" ds:itemID="{5E8C9446-FEA6-42F2-ABBC-50AFCD8EFB78}">
  <ds:schemaRefs/>
</ds:datastoreItem>
</file>

<file path=customXml/itemProps9.xml><?xml version="1.0" encoding="utf-8"?>
<ds:datastoreItem xmlns:ds="http://schemas.openxmlformats.org/officeDocument/2006/customXml" ds:itemID="{45B8BEE2-F7A5-459D-A8CD-2996F9DFF364}">
  <ds:schemaRefs/>
</ds:datastoreItem>
</file>

<file path=customXml/itemProps10.xml><?xml version="1.0" encoding="utf-8"?>
<ds:datastoreItem xmlns:ds="http://schemas.openxmlformats.org/officeDocument/2006/customXml" ds:itemID="{E7310FF6-ECA4-4985-A2F0-1530CEDE6DF9}">
  <ds:schemaRefs/>
</ds:datastoreItem>
</file>

<file path=customXml/itemProps11.xml><?xml version="1.0" encoding="utf-8"?>
<ds:datastoreItem xmlns:ds="http://schemas.openxmlformats.org/officeDocument/2006/customXml" ds:itemID="{1302190E-62B4-4702-82A6-FE4C5D2B02BB}">
  <ds:schemaRefs/>
</ds:datastoreItem>
</file>

<file path=customXml/itemProps12.xml><?xml version="1.0" encoding="utf-8"?>
<ds:datastoreItem xmlns:ds="http://schemas.openxmlformats.org/officeDocument/2006/customXml" ds:itemID="{95AC258D-ADF0-45CC-83C8-E4B8CF432E53}">
  <ds:schemaRefs/>
</ds:datastoreItem>
</file>

<file path=customXml/itemProps13.xml><?xml version="1.0" encoding="utf-8"?>
<ds:datastoreItem xmlns:ds="http://schemas.openxmlformats.org/officeDocument/2006/customXml" ds:itemID="{85849463-F5AE-4182-861C-A1AA9A0E83A8}">
  <ds:schemaRefs/>
</ds:datastoreItem>
</file>

<file path=customXml/itemProps14.xml><?xml version="1.0" encoding="utf-8"?>
<ds:datastoreItem xmlns:ds="http://schemas.openxmlformats.org/officeDocument/2006/customXml" ds:itemID="{88B64BE7-D136-444F-AEDF-EA315CFA46D7}">
  <ds:schemaRefs>
    <ds:schemaRef ds:uri="http://schemas.microsoft.com/DataMashup"/>
  </ds:schemaRefs>
</ds:datastoreItem>
</file>

<file path=customXml/itemProps15.xml><?xml version="1.0" encoding="utf-8"?>
<ds:datastoreItem xmlns:ds="http://schemas.openxmlformats.org/officeDocument/2006/customXml" ds:itemID="{86171467-B5F3-4FA0-9BE7-2A2659A7D90C}">
  <ds:schemaRefs/>
</ds:datastoreItem>
</file>

<file path=customXml/itemProps16.xml><?xml version="1.0" encoding="utf-8"?>
<ds:datastoreItem xmlns:ds="http://schemas.openxmlformats.org/officeDocument/2006/customXml" ds:itemID="{793F66C8-3665-47D2-B955-0D3504BD5624}">
  <ds:schemaRefs/>
</ds:datastoreItem>
</file>

<file path=customXml/itemProps17.xml><?xml version="1.0" encoding="utf-8"?>
<ds:datastoreItem xmlns:ds="http://schemas.openxmlformats.org/officeDocument/2006/customXml" ds:itemID="{215DD090-7BB4-433E-9AFB-800493C246ED}">
  <ds:schemaRefs/>
</ds:datastoreItem>
</file>

<file path=customXml/itemProps18.xml><?xml version="1.0" encoding="utf-8"?>
<ds:datastoreItem xmlns:ds="http://schemas.openxmlformats.org/officeDocument/2006/customXml" ds:itemID="{A4BDD4FC-5CB8-41BC-9403-FC4F77F1E0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Sheet1</vt:lpstr>
      <vt:lpstr>Dashboard</vt:lpstr>
      <vt:lpstr>Sheet7</vt:lpstr>
      <vt:lpstr>Sheet6</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22BAI10222</dc:creator>
  <cp:lastModifiedBy>22BAI10222</cp:lastModifiedBy>
  <dcterms:created xsi:type="dcterms:W3CDTF">2025-06-03T10:32:53Z</dcterms:created>
  <dcterms:modified xsi:type="dcterms:W3CDTF">2025-06-17T11:32:30Z</dcterms:modified>
</cp:coreProperties>
</file>